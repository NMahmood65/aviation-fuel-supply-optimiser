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aviation_fuel_supply_optimizer\"/>
    </mc:Choice>
  </mc:AlternateContent>
  <xr:revisionPtr revIDLastSave="0" documentId="8_{CF82ADC2-DFCF-49B3-849C-C3D9446A4AC5}" xr6:coauthVersionLast="47" xr6:coauthVersionMax="47" xr10:uidLastSave="{00000000-0000-0000-0000-000000000000}"/>
  <bookViews>
    <workbookView xWindow="-108" yWindow="-108" windowWidth="23256" windowHeight="12456" firstSheet="1" activeTab="4" xr2:uid="{27DBC0FE-2CD2-40F4-8183-8D926973E5EA}"/>
  </bookViews>
  <sheets>
    <sheet name="Logistics_Master" sheetId="1" r:id="rId1"/>
    <sheet name="Raw_Market_Data" sheetId="2" r:id="rId2"/>
    <sheet name="Raw_Flight_Data" sheetId="3" r:id="rId3"/>
    <sheet name="Inventory_Engine" sheetId="4" r:id="rId4"/>
    <sheet name="KPI_Dashboard" sheetId="5" r:id="rId5"/>
  </sheets>
  <definedNames>
    <definedName name="_xlnm._FilterDatabase" localSheetId="3" hidden="1">Inventory_Engine!$A$1:$J$91</definedName>
    <definedName name="_xlnm._FilterDatabase" localSheetId="4" hidden="1">KPI_Dashboard!$I$1:$J$1</definedName>
    <definedName name="Slicer_Airport">#N/A</definedName>
    <definedName name="Slicer_Hedging_Signal">#N/A</definedName>
  </definedNames>
  <calcPr calcId="191029"/>
  <pivotCaches>
    <pivotCache cacheId="81" r:id="rId6"/>
    <pivotCache cacheId="8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2" i="2"/>
  <c r="A3" i="4"/>
  <c r="B3" i="4"/>
  <c r="C3" i="4"/>
  <c r="D3" i="4"/>
  <c r="E3" i="4" s="1"/>
  <c r="F3" i="4"/>
  <c r="G3" i="4" s="1"/>
  <c r="A4" i="4"/>
  <c r="B4" i="4"/>
  <c r="C4" i="4"/>
  <c r="D4" i="4"/>
  <c r="E4" i="4" s="1"/>
  <c r="F4" i="4"/>
  <c r="A5" i="4"/>
  <c r="B5" i="4"/>
  <c r="C5" i="4"/>
  <c r="A6" i="4"/>
  <c r="B6" i="4"/>
  <c r="C6" i="4"/>
  <c r="D6" i="4"/>
  <c r="E6" i="4" s="1"/>
  <c r="A7" i="4"/>
  <c r="B7" i="4"/>
  <c r="D7" i="4" s="1"/>
  <c r="E7" i="4" s="1"/>
  <c r="C7" i="4"/>
  <c r="A8" i="4"/>
  <c r="B8" i="4"/>
  <c r="C8" i="4"/>
  <c r="D8" i="4"/>
  <c r="E8" i="4" s="1"/>
  <c r="A9" i="4"/>
  <c r="B9" i="4"/>
  <c r="C9" i="4"/>
  <c r="D9" i="4" s="1"/>
  <c r="E9" i="4" s="1"/>
  <c r="A10" i="4"/>
  <c r="B10" i="4"/>
  <c r="C10" i="4"/>
  <c r="D10" i="4"/>
  <c r="E10" i="4" s="1"/>
  <c r="A11" i="4"/>
  <c r="B11" i="4"/>
  <c r="C11" i="4"/>
  <c r="A12" i="4"/>
  <c r="B12" i="4"/>
  <c r="C12" i="4"/>
  <c r="D12" i="4"/>
  <c r="E12" i="4" s="1"/>
  <c r="A13" i="4"/>
  <c r="B13" i="4"/>
  <c r="D13" i="4" s="1"/>
  <c r="E13" i="4" s="1"/>
  <c r="C13" i="4"/>
  <c r="A14" i="4"/>
  <c r="B14" i="4"/>
  <c r="C14" i="4"/>
  <c r="D14" i="4"/>
  <c r="E14" i="4" s="1"/>
  <c r="A15" i="4"/>
  <c r="B15" i="4"/>
  <c r="C15" i="4"/>
  <c r="D15" i="4" s="1"/>
  <c r="E15" i="4" s="1"/>
  <c r="A16" i="4"/>
  <c r="B16" i="4"/>
  <c r="C16" i="4"/>
  <c r="D16" i="4"/>
  <c r="E16" i="4" s="1"/>
  <c r="A17" i="4"/>
  <c r="B17" i="4"/>
  <c r="C17" i="4"/>
  <c r="A18" i="4"/>
  <c r="B18" i="4"/>
  <c r="C18" i="4"/>
  <c r="D18" i="4"/>
  <c r="E18" i="4" s="1"/>
  <c r="A19" i="4"/>
  <c r="B19" i="4"/>
  <c r="D19" i="4" s="1"/>
  <c r="E19" i="4" s="1"/>
  <c r="C19" i="4"/>
  <c r="A20" i="4"/>
  <c r="B20" i="4"/>
  <c r="C20" i="4"/>
  <c r="D20" i="4"/>
  <c r="E20" i="4" s="1"/>
  <c r="A21" i="4"/>
  <c r="B21" i="4"/>
  <c r="C21" i="4"/>
  <c r="D21" i="4" s="1"/>
  <c r="E21" i="4" s="1"/>
  <c r="A22" i="4"/>
  <c r="B22" i="4"/>
  <c r="C22" i="4"/>
  <c r="D22" i="4"/>
  <c r="E22" i="4" s="1"/>
  <c r="A23" i="4"/>
  <c r="B23" i="4"/>
  <c r="C23" i="4"/>
  <c r="A24" i="4"/>
  <c r="B24" i="4"/>
  <c r="C24" i="4"/>
  <c r="D24" i="4"/>
  <c r="E24" i="4" s="1"/>
  <c r="A25" i="4"/>
  <c r="B25" i="4"/>
  <c r="D25" i="4" s="1"/>
  <c r="E25" i="4" s="1"/>
  <c r="C25" i="4"/>
  <c r="A26" i="4"/>
  <c r="B26" i="4"/>
  <c r="C26" i="4"/>
  <c r="D26" i="4"/>
  <c r="E26" i="4" s="1"/>
  <c r="A27" i="4"/>
  <c r="B27" i="4"/>
  <c r="C27" i="4"/>
  <c r="D27" i="4" s="1"/>
  <c r="E27" i="4" s="1"/>
  <c r="A28" i="4"/>
  <c r="B28" i="4"/>
  <c r="C28" i="4"/>
  <c r="D28" i="4"/>
  <c r="E28" i="4" s="1"/>
  <c r="A29" i="4"/>
  <c r="B29" i="4"/>
  <c r="C29" i="4"/>
  <c r="A30" i="4"/>
  <c r="B30" i="4"/>
  <c r="C30" i="4"/>
  <c r="D30" i="4"/>
  <c r="E30" i="4" s="1"/>
  <c r="A31" i="4"/>
  <c r="B31" i="4"/>
  <c r="D31" i="4" s="1"/>
  <c r="E31" i="4" s="1"/>
  <c r="C31" i="4"/>
  <c r="A32" i="4"/>
  <c r="B32" i="4"/>
  <c r="C32" i="4"/>
  <c r="D32" i="4"/>
  <c r="E32" i="4" s="1"/>
  <c r="A33" i="4"/>
  <c r="B33" i="4"/>
  <c r="C33" i="4"/>
  <c r="D33" i="4" s="1"/>
  <c r="E33" i="4" s="1"/>
  <c r="A34" i="4"/>
  <c r="B34" i="4"/>
  <c r="C34" i="4"/>
  <c r="D34" i="4"/>
  <c r="E34" i="4" s="1"/>
  <c r="A35" i="4"/>
  <c r="B35" i="4"/>
  <c r="C35" i="4"/>
  <c r="A36" i="4"/>
  <c r="B36" i="4"/>
  <c r="C36" i="4"/>
  <c r="D36" i="4"/>
  <c r="E36" i="4" s="1"/>
  <c r="A37" i="4"/>
  <c r="B37" i="4"/>
  <c r="D37" i="4" s="1"/>
  <c r="E37" i="4" s="1"/>
  <c r="C37" i="4"/>
  <c r="A38" i="4"/>
  <c r="B38" i="4"/>
  <c r="C38" i="4"/>
  <c r="D38" i="4"/>
  <c r="E38" i="4" s="1"/>
  <c r="A39" i="4"/>
  <c r="B39" i="4"/>
  <c r="C39" i="4"/>
  <c r="D39" i="4" s="1"/>
  <c r="E39" i="4" s="1"/>
  <c r="A40" i="4"/>
  <c r="B40" i="4"/>
  <c r="C40" i="4"/>
  <c r="D40" i="4"/>
  <c r="E40" i="4" s="1"/>
  <c r="A41" i="4"/>
  <c r="B41" i="4"/>
  <c r="C41" i="4"/>
  <c r="A42" i="4"/>
  <c r="B42" i="4"/>
  <c r="C42" i="4"/>
  <c r="D42" i="4"/>
  <c r="E42" i="4" s="1"/>
  <c r="A43" i="4"/>
  <c r="B43" i="4"/>
  <c r="D43" i="4" s="1"/>
  <c r="E43" i="4" s="1"/>
  <c r="C43" i="4"/>
  <c r="A44" i="4"/>
  <c r="B44" i="4"/>
  <c r="C44" i="4"/>
  <c r="D44" i="4"/>
  <c r="E44" i="4" s="1"/>
  <c r="A45" i="4"/>
  <c r="B45" i="4"/>
  <c r="C45" i="4"/>
  <c r="D45" i="4" s="1"/>
  <c r="E45" i="4" s="1"/>
  <c r="A46" i="4"/>
  <c r="B46" i="4"/>
  <c r="C46" i="4"/>
  <c r="D46" i="4"/>
  <c r="E46" i="4" s="1"/>
  <c r="A47" i="4"/>
  <c r="B47" i="4"/>
  <c r="C47" i="4"/>
  <c r="A48" i="4"/>
  <c r="B48" i="4"/>
  <c r="C48" i="4"/>
  <c r="D48" i="4"/>
  <c r="E48" i="4" s="1"/>
  <c r="A49" i="4"/>
  <c r="B49" i="4"/>
  <c r="D49" i="4" s="1"/>
  <c r="E49" i="4" s="1"/>
  <c r="C49" i="4"/>
  <c r="A50" i="4"/>
  <c r="B50" i="4"/>
  <c r="C50" i="4"/>
  <c r="D50" i="4"/>
  <c r="E50" i="4" s="1"/>
  <c r="A51" i="4"/>
  <c r="B51" i="4"/>
  <c r="C51" i="4"/>
  <c r="D51" i="4" s="1"/>
  <c r="E51" i="4" s="1"/>
  <c r="A52" i="4"/>
  <c r="B52" i="4"/>
  <c r="C52" i="4"/>
  <c r="D52" i="4"/>
  <c r="E52" i="4" s="1"/>
  <c r="A53" i="4"/>
  <c r="B53" i="4"/>
  <c r="C53" i="4"/>
  <c r="A54" i="4"/>
  <c r="B54" i="4"/>
  <c r="C54" i="4"/>
  <c r="D54" i="4"/>
  <c r="E54" i="4" s="1"/>
  <c r="A55" i="4"/>
  <c r="B55" i="4"/>
  <c r="D55" i="4" s="1"/>
  <c r="E55" i="4" s="1"/>
  <c r="C55" i="4"/>
  <c r="A56" i="4"/>
  <c r="B56" i="4"/>
  <c r="C56" i="4"/>
  <c r="D56" i="4"/>
  <c r="E56" i="4" s="1"/>
  <c r="A57" i="4"/>
  <c r="B57" i="4"/>
  <c r="C57" i="4"/>
  <c r="D57" i="4" s="1"/>
  <c r="E57" i="4" s="1"/>
  <c r="A58" i="4"/>
  <c r="B58" i="4"/>
  <c r="C58" i="4"/>
  <c r="D58" i="4"/>
  <c r="E58" i="4" s="1"/>
  <c r="A59" i="4"/>
  <c r="B59" i="4"/>
  <c r="C59" i="4"/>
  <c r="A60" i="4"/>
  <c r="B60" i="4"/>
  <c r="C60" i="4"/>
  <c r="D60" i="4"/>
  <c r="E60" i="4" s="1"/>
  <c r="A61" i="4"/>
  <c r="B61" i="4"/>
  <c r="D61" i="4" s="1"/>
  <c r="E61" i="4" s="1"/>
  <c r="C61" i="4"/>
  <c r="A62" i="4"/>
  <c r="B62" i="4"/>
  <c r="C62" i="4"/>
  <c r="D62" i="4"/>
  <c r="E62" i="4" s="1"/>
  <c r="A63" i="4"/>
  <c r="B63" i="4"/>
  <c r="C63" i="4"/>
  <c r="D63" i="4" s="1"/>
  <c r="E63" i="4" s="1"/>
  <c r="A64" i="4"/>
  <c r="B64" i="4"/>
  <c r="C64" i="4"/>
  <c r="D64" i="4"/>
  <c r="E64" i="4" s="1"/>
  <c r="A65" i="4"/>
  <c r="B65" i="4"/>
  <c r="C65" i="4"/>
  <c r="A66" i="4"/>
  <c r="B66" i="4"/>
  <c r="C66" i="4"/>
  <c r="D66" i="4"/>
  <c r="E66" i="4" s="1"/>
  <c r="A67" i="4"/>
  <c r="B67" i="4"/>
  <c r="D67" i="4" s="1"/>
  <c r="E67" i="4" s="1"/>
  <c r="C67" i="4"/>
  <c r="A68" i="4"/>
  <c r="B68" i="4"/>
  <c r="C68" i="4"/>
  <c r="D68" i="4"/>
  <c r="E68" i="4" s="1"/>
  <c r="A69" i="4"/>
  <c r="B69" i="4"/>
  <c r="C69" i="4"/>
  <c r="D69" i="4" s="1"/>
  <c r="E69" i="4" s="1"/>
  <c r="A70" i="4"/>
  <c r="B70" i="4"/>
  <c r="C70" i="4"/>
  <c r="D70" i="4"/>
  <c r="E70" i="4" s="1"/>
  <c r="A71" i="4"/>
  <c r="B71" i="4"/>
  <c r="C71" i="4"/>
  <c r="A72" i="4"/>
  <c r="B72" i="4"/>
  <c r="C72" i="4"/>
  <c r="D72" i="4"/>
  <c r="E72" i="4" s="1"/>
  <c r="A73" i="4"/>
  <c r="B73" i="4"/>
  <c r="D73" i="4" s="1"/>
  <c r="E73" i="4" s="1"/>
  <c r="C73" i="4"/>
  <c r="A74" i="4"/>
  <c r="B74" i="4"/>
  <c r="C74" i="4"/>
  <c r="D74" i="4"/>
  <c r="E74" i="4" s="1"/>
  <c r="A75" i="4"/>
  <c r="B75" i="4"/>
  <c r="C75" i="4"/>
  <c r="D75" i="4" s="1"/>
  <c r="E75" i="4" s="1"/>
  <c r="A76" i="4"/>
  <c r="B76" i="4"/>
  <c r="C76" i="4"/>
  <c r="D76" i="4"/>
  <c r="E76" i="4" s="1"/>
  <c r="A77" i="4"/>
  <c r="B77" i="4"/>
  <c r="C77" i="4"/>
  <c r="A78" i="4"/>
  <c r="B78" i="4"/>
  <c r="C78" i="4"/>
  <c r="D78" i="4"/>
  <c r="E78" i="4" s="1"/>
  <c r="A79" i="4"/>
  <c r="B79" i="4"/>
  <c r="D79" i="4" s="1"/>
  <c r="E79" i="4" s="1"/>
  <c r="C79" i="4"/>
  <c r="A80" i="4"/>
  <c r="B80" i="4"/>
  <c r="C80" i="4"/>
  <c r="D80" i="4"/>
  <c r="E80" i="4" s="1"/>
  <c r="A81" i="4"/>
  <c r="B81" i="4"/>
  <c r="C81" i="4"/>
  <c r="D81" i="4" s="1"/>
  <c r="E81" i="4" s="1"/>
  <c r="A82" i="4"/>
  <c r="B82" i="4"/>
  <c r="C82" i="4"/>
  <c r="D82" i="4"/>
  <c r="E82" i="4" s="1"/>
  <c r="A83" i="4"/>
  <c r="B83" i="4"/>
  <c r="C83" i="4"/>
  <c r="A84" i="4"/>
  <c r="B84" i="4"/>
  <c r="C84" i="4"/>
  <c r="D84" i="4"/>
  <c r="E84" i="4" s="1"/>
  <c r="A85" i="4"/>
  <c r="B85" i="4"/>
  <c r="D85" i="4" s="1"/>
  <c r="E85" i="4" s="1"/>
  <c r="C85" i="4"/>
  <c r="A86" i="4"/>
  <c r="B86" i="4"/>
  <c r="C86" i="4"/>
  <c r="D86" i="4"/>
  <c r="E86" i="4" s="1"/>
  <c r="A87" i="4"/>
  <c r="B87" i="4"/>
  <c r="C87" i="4"/>
  <c r="D87" i="4" s="1"/>
  <c r="E87" i="4" s="1"/>
  <c r="A88" i="4"/>
  <c r="B88" i="4"/>
  <c r="C88" i="4"/>
  <c r="D88" i="4" s="1"/>
  <c r="E88" i="4" s="1"/>
  <c r="A89" i="4"/>
  <c r="B89" i="4"/>
  <c r="C89" i="4"/>
  <c r="D89" i="4"/>
  <c r="E89" i="4" s="1"/>
  <c r="A90" i="4"/>
  <c r="B90" i="4"/>
  <c r="C90" i="4"/>
  <c r="D90" i="4"/>
  <c r="E90" i="4" s="1"/>
  <c r="A91" i="4"/>
  <c r="B91" i="4"/>
  <c r="C91" i="4"/>
  <c r="D91" i="4"/>
  <c r="E91" i="4" s="1"/>
  <c r="F2" i="4"/>
  <c r="D2" i="4"/>
  <c r="E2" i="4" s="1"/>
  <c r="C2" i="4"/>
  <c r="B2" i="4"/>
  <c r="A2" i="4"/>
  <c r="G2" i="4" l="1"/>
  <c r="H2" i="4" s="1"/>
  <c r="J2" i="4" s="1"/>
  <c r="G4" i="4"/>
  <c r="H4" i="4" s="1"/>
  <c r="J4" i="4" s="1"/>
  <c r="D5" i="4"/>
  <c r="E5" i="4" s="1"/>
  <c r="D83" i="4"/>
  <c r="E83" i="4" s="1"/>
  <c r="D77" i="4"/>
  <c r="E77" i="4" s="1"/>
  <c r="D71" i="4"/>
  <c r="E71" i="4" s="1"/>
  <c r="D65" i="4"/>
  <c r="E65" i="4" s="1"/>
  <c r="D59" i="4"/>
  <c r="E59" i="4" s="1"/>
  <c r="D53" i="4"/>
  <c r="E53" i="4" s="1"/>
  <c r="D47" i="4"/>
  <c r="E47" i="4" s="1"/>
  <c r="D41" i="4"/>
  <c r="E41" i="4" s="1"/>
  <c r="D35" i="4"/>
  <c r="E35" i="4" s="1"/>
  <c r="D29" i="4"/>
  <c r="E29" i="4" s="1"/>
  <c r="D23" i="4"/>
  <c r="E23" i="4" s="1"/>
  <c r="D17" i="4"/>
  <c r="E17" i="4" s="1"/>
  <c r="D11" i="4"/>
  <c r="E11" i="4" s="1"/>
  <c r="H3" i="4"/>
  <c r="J3" i="4" s="1"/>
  <c r="I2" i="4" l="1"/>
  <c r="F5" i="4" s="1"/>
  <c r="G5" i="4" s="1"/>
  <c r="H5" i="4" s="1"/>
  <c r="J5" i="4" s="1"/>
  <c r="I3" i="4"/>
  <c r="F6" i="4" s="1"/>
  <c r="G6" i="4" s="1"/>
  <c r="I4" i="4"/>
  <c r="F7" i="4" s="1"/>
  <c r="G7" i="4" s="1"/>
  <c r="I5" i="4" l="1"/>
  <c r="F8" i="4" s="1"/>
  <c r="G8" i="4" s="1"/>
  <c r="H8" i="4" s="1"/>
  <c r="J8" i="4" s="1"/>
  <c r="H7" i="4"/>
  <c r="J7" i="4" s="1"/>
  <c r="H6" i="4"/>
  <c r="J6" i="4" s="1"/>
  <c r="I8" i="4" l="1"/>
  <c r="F11" i="4" s="1"/>
  <c r="G11" i="4" s="1"/>
  <c r="H11" i="4" s="1"/>
  <c r="J11" i="4" s="1"/>
  <c r="I6" i="4"/>
  <c r="F9" i="4" s="1"/>
  <c r="G9" i="4" s="1"/>
  <c r="I7" i="4"/>
  <c r="F10" i="4" s="1"/>
  <c r="G10" i="4" s="1"/>
  <c r="I11" i="4" l="1"/>
  <c r="F14" i="4" s="1"/>
  <c r="G14" i="4" s="1"/>
  <c r="H10" i="4"/>
  <c r="J10" i="4" s="1"/>
  <c r="H9" i="4"/>
  <c r="J9" i="4" s="1"/>
  <c r="H14" i="4"/>
  <c r="J14" i="4" s="1"/>
  <c r="I14" i="4" l="1"/>
  <c r="F17" i="4" s="1"/>
  <c r="G17" i="4" s="1"/>
  <c r="H17" i="4" s="1"/>
  <c r="J17" i="4" s="1"/>
  <c r="I9" i="4"/>
  <c r="F12" i="4" s="1"/>
  <c r="G12" i="4" s="1"/>
  <c r="I10" i="4"/>
  <c r="F13" i="4" s="1"/>
  <c r="G13" i="4" s="1"/>
  <c r="I17" i="4" l="1"/>
  <c r="F20" i="4" s="1"/>
  <c r="G20" i="4" s="1"/>
  <c r="H20" i="4" s="1"/>
  <c r="J20" i="4" s="1"/>
  <c r="H13" i="4"/>
  <c r="J13" i="4" s="1"/>
  <c r="H12" i="4"/>
  <c r="J12" i="4" s="1"/>
  <c r="I20" i="4" l="1"/>
  <c r="F23" i="4" s="1"/>
  <c r="G23" i="4" s="1"/>
  <c r="H23" i="4" s="1"/>
  <c r="J23" i="4" s="1"/>
  <c r="I13" i="4"/>
  <c r="F16" i="4" s="1"/>
  <c r="G16" i="4" s="1"/>
  <c r="I12" i="4"/>
  <c r="F15" i="4" s="1"/>
  <c r="G15" i="4" s="1"/>
  <c r="I23" i="4" l="1"/>
  <c r="F26" i="4" s="1"/>
  <c r="G26" i="4" s="1"/>
  <c r="H26" i="4" s="1"/>
  <c r="J26" i="4" s="1"/>
  <c r="H15" i="4"/>
  <c r="J15" i="4" s="1"/>
  <c r="H16" i="4"/>
  <c r="J16" i="4" s="1"/>
  <c r="I26" i="4" l="1"/>
  <c r="F29" i="4" s="1"/>
  <c r="G29" i="4" s="1"/>
  <c r="H29" i="4" s="1"/>
  <c r="J29" i="4" s="1"/>
  <c r="I16" i="4"/>
  <c r="F19" i="4" s="1"/>
  <c r="G19" i="4" s="1"/>
  <c r="H19" i="4" s="1"/>
  <c r="J19" i="4" s="1"/>
  <c r="I15" i="4"/>
  <c r="F18" i="4" s="1"/>
  <c r="G18" i="4" s="1"/>
  <c r="I29" i="4" l="1"/>
  <c r="F32" i="4" s="1"/>
  <c r="G32" i="4" s="1"/>
  <c r="H32" i="4" s="1"/>
  <c r="J32" i="4" s="1"/>
  <c r="I19" i="4"/>
  <c r="F22" i="4" s="1"/>
  <c r="G22" i="4" s="1"/>
  <c r="H22" i="4" s="1"/>
  <c r="J22" i="4" s="1"/>
  <c r="H18" i="4"/>
  <c r="J18" i="4" s="1"/>
  <c r="I32" i="4" l="1"/>
  <c r="F35" i="4" s="1"/>
  <c r="G35" i="4" s="1"/>
  <c r="H35" i="4" s="1"/>
  <c r="J35" i="4" s="1"/>
  <c r="I18" i="4"/>
  <c r="F21" i="4" s="1"/>
  <c r="G21" i="4" s="1"/>
  <c r="H21" i="4" s="1"/>
  <c r="J21" i="4" s="1"/>
  <c r="I22" i="4"/>
  <c r="F25" i="4" s="1"/>
  <c r="G25" i="4" s="1"/>
  <c r="I35" i="4" l="1"/>
  <c r="F38" i="4" s="1"/>
  <c r="G38" i="4" s="1"/>
  <c r="H38" i="4" s="1"/>
  <c r="J38" i="4" s="1"/>
  <c r="I21" i="4"/>
  <c r="F24" i="4" s="1"/>
  <c r="G24" i="4" s="1"/>
  <c r="H24" i="4" s="1"/>
  <c r="J24" i="4" s="1"/>
  <c r="H25" i="4"/>
  <c r="J25" i="4" s="1"/>
  <c r="I38" i="4" l="1"/>
  <c r="F41" i="4" s="1"/>
  <c r="G41" i="4" s="1"/>
  <c r="H41" i="4" s="1"/>
  <c r="J41" i="4" s="1"/>
  <c r="I24" i="4"/>
  <c r="F27" i="4" s="1"/>
  <c r="G27" i="4" s="1"/>
  <c r="H27" i="4" s="1"/>
  <c r="J27" i="4" s="1"/>
  <c r="I25" i="4"/>
  <c r="F28" i="4" s="1"/>
  <c r="G28" i="4" s="1"/>
  <c r="I41" i="4" l="1"/>
  <c r="F44" i="4" s="1"/>
  <c r="G44" i="4" s="1"/>
  <c r="H44" i="4" s="1"/>
  <c r="J44" i="4" s="1"/>
  <c r="I27" i="4"/>
  <c r="F30" i="4" s="1"/>
  <c r="G30" i="4" s="1"/>
  <c r="H30" i="4" s="1"/>
  <c r="J30" i="4" s="1"/>
  <c r="H28" i="4"/>
  <c r="J28" i="4" s="1"/>
  <c r="I44" i="4" l="1"/>
  <c r="F47" i="4" s="1"/>
  <c r="G47" i="4" s="1"/>
  <c r="H47" i="4" s="1"/>
  <c r="J47" i="4" s="1"/>
  <c r="I28" i="4"/>
  <c r="F31" i="4" s="1"/>
  <c r="G31" i="4" s="1"/>
  <c r="I30" i="4"/>
  <c r="F33" i="4" s="1"/>
  <c r="G33" i="4" s="1"/>
  <c r="I47" i="4" l="1"/>
  <c r="F50" i="4" s="1"/>
  <c r="G50" i="4" s="1"/>
  <c r="H50" i="4" s="1"/>
  <c r="J50" i="4" s="1"/>
  <c r="H31" i="4"/>
  <c r="J31" i="4" s="1"/>
  <c r="H33" i="4"/>
  <c r="J33" i="4" s="1"/>
  <c r="I33" i="4"/>
  <c r="F36" i="4" s="1"/>
  <c r="G36" i="4" s="1"/>
  <c r="I50" i="4" l="1"/>
  <c r="F53" i="4" s="1"/>
  <c r="G53" i="4" s="1"/>
  <c r="H53" i="4" s="1"/>
  <c r="J53" i="4" s="1"/>
  <c r="H36" i="4"/>
  <c r="J36" i="4" s="1"/>
  <c r="I31" i="4"/>
  <c r="F34" i="4" s="1"/>
  <c r="G34" i="4" s="1"/>
  <c r="I53" i="4" l="1"/>
  <c r="F56" i="4" s="1"/>
  <c r="G56" i="4" s="1"/>
  <c r="H56" i="4" s="1"/>
  <c r="J56" i="4" s="1"/>
  <c r="I36" i="4"/>
  <c r="F39" i="4" s="1"/>
  <c r="G39" i="4" s="1"/>
  <c r="H39" i="4" s="1"/>
  <c r="J39" i="4" s="1"/>
  <c r="H34" i="4"/>
  <c r="J34" i="4" s="1"/>
  <c r="I56" i="4" l="1"/>
  <c r="F59" i="4" s="1"/>
  <c r="G59" i="4" s="1"/>
  <c r="H59" i="4" s="1"/>
  <c r="J59" i="4" s="1"/>
  <c r="I34" i="4"/>
  <c r="F37" i="4" s="1"/>
  <c r="G37" i="4" s="1"/>
  <c r="I39" i="4"/>
  <c r="F42" i="4" s="1"/>
  <c r="G42" i="4" s="1"/>
  <c r="I59" i="4" l="1"/>
  <c r="F62" i="4" s="1"/>
  <c r="G62" i="4" s="1"/>
  <c r="H62" i="4" s="1"/>
  <c r="J62" i="4" s="1"/>
  <c r="H42" i="4"/>
  <c r="J42" i="4" s="1"/>
  <c r="H37" i="4"/>
  <c r="J37" i="4" s="1"/>
  <c r="I62" i="4" l="1"/>
  <c r="F65" i="4" s="1"/>
  <c r="G65" i="4" s="1"/>
  <c r="H65" i="4" s="1"/>
  <c r="J65" i="4" s="1"/>
  <c r="I42" i="4"/>
  <c r="F45" i="4" s="1"/>
  <c r="G45" i="4" s="1"/>
  <c r="H45" i="4" s="1"/>
  <c r="J45" i="4" s="1"/>
  <c r="I37" i="4"/>
  <c r="F40" i="4" s="1"/>
  <c r="G40" i="4" s="1"/>
  <c r="H40" i="4" s="1"/>
  <c r="J40" i="4" s="1"/>
  <c r="I65" i="4" l="1"/>
  <c r="F68" i="4" s="1"/>
  <c r="G68" i="4" s="1"/>
  <c r="H68" i="4" s="1"/>
  <c r="J68" i="4" s="1"/>
  <c r="I40" i="4"/>
  <c r="F43" i="4" s="1"/>
  <c r="G43" i="4" s="1"/>
  <c r="H43" i="4" s="1"/>
  <c r="J43" i="4" s="1"/>
  <c r="I45" i="4"/>
  <c r="F48" i="4" s="1"/>
  <c r="G48" i="4" s="1"/>
  <c r="I68" i="4" l="1"/>
  <c r="F71" i="4" s="1"/>
  <c r="G71" i="4" s="1"/>
  <c r="H71" i="4" s="1"/>
  <c r="J71" i="4" s="1"/>
  <c r="H48" i="4"/>
  <c r="J48" i="4" s="1"/>
  <c r="I43" i="4"/>
  <c r="F46" i="4" s="1"/>
  <c r="G46" i="4" s="1"/>
  <c r="I71" i="4" l="1"/>
  <c r="F74" i="4" s="1"/>
  <c r="G74" i="4" s="1"/>
  <c r="H74" i="4" s="1"/>
  <c r="J74" i="4" s="1"/>
  <c r="I48" i="4"/>
  <c r="F51" i="4" s="1"/>
  <c r="G51" i="4" s="1"/>
  <c r="H51" i="4" s="1"/>
  <c r="J51" i="4" s="1"/>
  <c r="H46" i="4"/>
  <c r="J46" i="4" s="1"/>
  <c r="I74" i="4" l="1"/>
  <c r="F77" i="4" s="1"/>
  <c r="G77" i="4" s="1"/>
  <c r="H77" i="4" s="1"/>
  <c r="J77" i="4" s="1"/>
  <c r="I51" i="4"/>
  <c r="F54" i="4" s="1"/>
  <c r="G54" i="4" s="1"/>
  <c r="H54" i="4" s="1"/>
  <c r="J54" i="4" s="1"/>
  <c r="I46" i="4"/>
  <c r="F49" i="4" s="1"/>
  <c r="G49" i="4" s="1"/>
  <c r="I77" i="4" l="1"/>
  <c r="F80" i="4" s="1"/>
  <c r="G80" i="4" s="1"/>
  <c r="H80" i="4" s="1"/>
  <c r="J80" i="4" s="1"/>
  <c r="I54" i="4"/>
  <c r="F57" i="4" s="1"/>
  <c r="G57" i="4" s="1"/>
  <c r="H57" i="4" s="1"/>
  <c r="J57" i="4" s="1"/>
  <c r="H49" i="4"/>
  <c r="J49" i="4" s="1"/>
  <c r="I80" i="4" l="1"/>
  <c r="F83" i="4" s="1"/>
  <c r="G83" i="4" s="1"/>
  <c r="H83" i="4" s="1"/>
  <c r="J83" i="4" s="1"/>
  <c r="I49" i="4"/>
  <c r="F52" i="4" s="1"/>
  <c r="G52" i="4" s="1"/>
  <c r="I57" i="4"/>
  <c r="F60" i="4" s="1"/>
  <c r="G60" i="4" s="1"/>
  <c r="I83" i="4" l="1"/>
  <c r="F86" i="4" s="1"/>
  <c r="G86" i="4" s="1"/>
  <c r="H86" i="4" s="1"/>
  <c r="J86" i="4" s="1"/>
  <c r="H60" i="4"/>
  <c r="J60" i="4" s="1"/>
  <c r="H52" i="4"/>
  <c r="J52" i="4" s="1"/>
  <c r="I86" i="4" l="1"/>
  <c r="F89" i="4" s="1"/>
  <c r="G89" i="4" s="1"/>
  <c r="H89" i="4" s="1"/>
  <c r="J89" i="4" s="1"/>
  <c r="I52" i="4"/>
  <c r="F55" i="4" s="1"/>
  <c r="G55" i="4" s="1"/>
  <c r="I60" i="4"/>
  <c r="F63" i="4" s="1"/>
  <c r="G63" i="4" s="1"/>
  <c r="I89" i="4" l="1"/>
  <c r="H63" i="4"/>
  <c r="J63" i="4" s="1"/>
  <c r="H55" i="4"/>
  <c r="J55" i="4" s="1"/>
  <c r="I63" i="4" l="1"/>
  <c r="F66" i="4" s="1"/>
  <c r="G66" i="4" s="1"/>
  <c r="H66" i="4" s="1"/>
  <c r="J66" i="4" s="1"/>
  <c r="I55" i="4"/>
  <c r="F58" i="4" s="1"/>
  <c r="G58" i="4" s="1"/>
  <c r="H58" i="4" s="1"/>
  <c r="J58" i="4" s="1"/>
  <c r="I66" i="4" l="1"/>
  <c r="F69" i="4" s="1"/>
  <c r="G69" i="4" s="1"/>
  <c r="H69" i="4" s="1"/>
  <c r="J69" i="4" s="1"/>
  <c r="I58" i="4"/>
  <c r="F61" i="4" s="1"/>
  <c r="G61" i="4" s="1"/>
  <c r="I69" i="4" l="1"/>
  <c r="F72" i="4" s="1"/>
  <c r="G72" i="4" s="1"/>
  <c r="H72" i="4" s="1"/>
  <c r="J72" i="4" s="1"/>
  <c r="H61" i="4"/>
  <c r="J61" i="4" s="1"/>
  <c r="I72" i="4" l="1"/>
  <c r="F75" i="4" s="1"/>
  <c r="G75" i="4" s="1"/>
  <c r="H75" i="4" s="1"/>
  <c r="J75" i="4" s="1"/>
  <c r="I61" i="4"/>
  <c r="F64" i="4" s="1"/>
  <c r="G64" i="4" s="1"/>
  <c r="I75" i="4" l="1"/>
  <c r="F78" i="4" s="1"/>
  <c r="G78" i="4" s="1"/>
  <c r="H78" i="4" s="1"/>
  <c r="J78" i="4" s="1"/>
  <c r="H64" i="4"/>
  <c r="J64" i="4" s="1"/>
  <c r="I78" i="4" l="1"/>
  <c r="F81" i="4" s="1"/>
  <c r="G81" i="4" s="1"/>
  <c r="H81" i="4" s="1"/>
  <c r="J81" i="4" s="1"/>
  <c r="I64" i="4"/>
  <c r="F67" i="4" s="1"/>
  <c r="G67" i="4" s="1"/>
  <c r="I81" i="4" l="1"/>
  <c r="F84" i="4" s="1"/>
  <c r="G84" i="4" s="1"/>
  <c r="H84" i="4" s="1"/>
  <c r="J84" i="4" s="1"/>
  <c r="H67" i="4"/>
  <c r="J67" i="4" s="1"/>
  <c r="I84" i="4" l="1"/>
  <c r="F87" i="4" s="1"/>
  <c r="G87" i="4" s="1"/>
  <c r="H87" i="4" s="1"/>
  <c r="J87" i="4" s="1"/>
  <c r="I67" i="4"/>
  <c r="F70" i="4" s="1"/>
  <c r="G70" i="4" s="1"/>
  <c r="I87" i="4" l="1"/>
  <c r="F90" i="4" s="1"/>
  <c r="G90" i="4" s="1"/>
  <c r="H90" i="4" s="1"/>
  <c r="J90" i="4" s="1"/>
  <c r="H70" i="4"/>
  <c r="J70" i="4" s="1"/>
  <c r="I70" i="4" l="1"/>
  <c r="F73" i="4" s="1"/>
  <c r="G73" i="4" s="1"/>
  <c r="H73" i="4" s="1"/>
  <c r="J73" i="4" s="1"/>
  <c r="I90" i="4"/>
  <c r="I73" i="4" l="1"/>
  <c r="F76" i="4" s="1"/>
  <c r="G76" i="4" s="1"/>
  <c r="H76" i="4" l="1"/>
  <c r="J76" i="4" s="1"/>
  <c r="I76" i="4" l="1"/>
  <c r="F79" i="4" s="1"/>
  <c r="G79" i="4" s="1"/>
  <c r="H79" i="4" l="1"/>
  <c r="J79" i="4" s="1"/>
  <c r="I79" i="4" l="1"/>
  <c r="F82" i="4" s="1"/>
  <c r="G82" i="4" s="1"/>
  <c r="H82" i="4" l="1"/>
  <c r="J82" i="4" s="1"/>
  <c r="I82" i="4" l="1"/>
  <c r="F85" i="4" s="1"/>
  <c r="G85" i="4" s="1"/>
  <c r="H85" i="4" l="1"/>
  <c r="J85" i="4" s="1"/>
  <c r="I85" i="4" l="1"/>
  <c r="F88" i="4" s="1"/>
  <c r="G88" i="4" s="1"/>
  <c r="H88" i="4" l="1"/>
  <c r="J88" i="4" s="1"/>
  <c r="I88" i="4" l="1"/>
  <c r="F91" i="4" s="1"/>
  <c r="G91" i="4" s="1"/>
  <c r="H91" i="4" s="1"/>
  <c r="J91" i="4" s="1"/>
  <c r="I91" i="4" l="1"/>
</calcChain>
</file>

<file path=xl/sharedStrings.xml><?xml version="1.0" encoding="utf-8"?>
<sst xmlns="http://schemas.openxmlformats.org/spreadsheetml/2006/main" count="148" uniqueCount="49">
  <si>
    <t>Airport_Code</t>
  </si>
  <si>
    <t>Airport_Name</t>
  </si>
  <si>
    <t>Primary_Supply_Node</t>
  </si>
  <si>
    <t>Transport_Mode</t>
  </si>
  <si>
    <t>Avg_Uplift_MT_per_Flight</t>
  </si>
  <si>
    <t>Min_Safety_Stock_Days</t>
  </si>
  <si>
    <t>Max_Tank_Capacity_MT</t>
  </si>
  <si>
    <t>Lead_Time_Days</t>
  </si>
  <si>
    <t>Freight_Cost_per_MT</t>
  </si>
  <si>
    <t>Truck_Capacity_MT</t>
  </si>
  <si>
    <t>FRA</t>
  </si>
  <si>
    <t>Frankfurt</t>
  </si>
  <si>
    <t>CEPS Pipeline (Rotterdam/ARA)</t>
  </si>
  <si>
    <t>Pipeline</t>
  </si>
  <si>
    <t>$14.50</t>
  </si>
  <si>
    <t>N/A</t>
  </si>
  <si>
    <t>DUB</t>
  </si>
  <si>
    <t>Dublin</t>
  </si>
  <si>
    <t>Dublin Port Sea Terminal</t>
  </si>
  <si>
    <t>GVA</t>
  </si>
  <si>
    <t>Geneva</t>
  </si>
  <si>
    <t>Vernier Rail/Road Hub (Rhone)</t>
  </si>
  <si>
    <t>Date</t>
  </si>
  <si>
    <t>Brent_USD_bbl</t>
  </si>
  <si>
    <t>JetFuel_USD_bbl</t>
  </si>
  <si>
    <t>Crack_Spread_bbl</t>
  </si>
  <si>
    <t>JetFuel_USD_MT</t>
  </si>
  <si>
    <t>Departing_Flights</t>
  </si>
  <si>
    <t>Airport</t>
  </si>
  <si>
    <t>Flights</t>
  </si>
  <si>
    <t>Sea Vessel</t>
  </si>
  <si>
    <t>$18.50</t>
  </si>
  <si>
    <t>Rail</t>
  </si>
  <si>
    <t>$28.00</t>
  </si>
  <si>
    <t>Daily Demand MT</t>
  </si>
  <si>
    <t>Safety Stock MT</t>
  </si>
  <si>
    <t>Starting Inventory</t>
  </si>
  <si>
    <t>EOD Projected</t>
  </si>
  <si>
    <t>Nomination Order MT</t>
  </si>
  <si>
    <t>Ending Inventory</t>
  </si>
  <si>
    <t>Dispatch Action</t>
  </si>
  <si>
    <t>Grand Total</t>
  </si>
  <si>
    <t>Ending Inventory MT</t>
  </si>
  <si>
    <t xml:space="preserve">Safety Stock MT </t>
  </si>
  <si>
    <t>Hedging_Signal</t>
  </si>
  <si>
    <t xml:space="preserve">Date </t>
  </si>
  <si>
    <t xml:space="preserve">Brent_USD_bbl </t>
  </si>
  <si>
    <t xml:space="preserve">JetFuel_USD_MT </t>
  </si>
  <si>
    <t>EXECUTE FORWARD HEDGE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</si>
</sst>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theme="0"/>
        <bgColor theme="4" tint="0.79998168889431442"/>
      </patternFill>
    </fill>
  </fills>
  <borders count="3">
    <border>
      <left/>
      <right/>
      <top/>
      <bottom/>
      <diagonal/>
    </border>
    <border>
      <left style="medium">
        <color rgb="FFC4C7C5"/>
      </left>
      <right style="medium">
        <color rgb="FFC4C7C5"/>
      </right>
      <top style="medium">
        <color rgb="FFC4C7C5"/>
      </top>
      <bottom style="medium">
        <color rgb="FFC4C7C5"/>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3"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0" fillId="2" borderId="2" xfId="0" applyFill="1" applyBorder="1"/>
  </cellXfs>
  <cellStyles count="1">
    <cellStyle name="Normal" xfId="0" builtinId="0"/>
  </cellStyles>
  <dxfs count="124">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[aviation_fuel_supply_analysis.xlsx]KPI_Dashboard!PivotTable7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baseline="0"/>
              <a:t>Daily Inventory Drawdown &amp; automated Refill (MT)</a:t>
            </a:r>
            <a:endParaRPr lang="en-GB"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KPI_Dashboard!$B$3</c:f>
              <c:strCache>
                <c:ptCount val="1"/>
                <c:pt idx="0">
                  <c:v>Ending Inventory MT</c:v>
                </c:pt>
              </c:strCache>
            </c:strRef>
          </c:tx>
          <c:spPr>
            <a:ln w="28575" cap="rnd">
              <a:solidFill>
                <a:schemeClr val="accent6"/>
              </a:solidFill>
              <a:round/>
            </a:ln>
            <a:effectLst/>
          </c:spPr>
          <c:marker>
            <c:symbol val="none"/>
          </c:marker>
          <c:cat>
            <c:strRef>
              <c:f>KPI_Dashboard!$A$4:$A$34</c:f>
              <c:strCache>
                <c:ptCount val="30"/>
                <c:pt idx="0">
                  <c:v>01/10/2024</c:v>
                </c:pt>
                <c:pt idx="1">
                  <c:v>02/10/2024</c:v>
                </c:pt>
                <c:pt idx="2">
                  <c:v>03/10/2024</c:v>
                </c:pt>
                <c:pt idx="3">
                  <c:v>04/10/2024</c:v>
                </c:pt>
                <c:pt idx="4">
                  <c:v>05/10/2024</c:v>
                </c:pt>
                <c:pt idx="5">
                  <c:v>06/10/2024</c:v>
                </c:pt>
                <c:pt idx="6">
                  <c:v>07/10/2024</c:v>
                </c:pt>
                <c:pt idx="7">
                  <c:v>08/10/2024</c:v>
                </c:pt>
                <c:pt idx="8">
                  <c:v>09/10/2024</c:v>
                </c:pt>
                <c:pt idx="9">
                  <c:v>10/10/2024</c:v>
                </c:pt>
                <c:pt idx="10">
                  <c:v>11/10/2024</c:v>
                </c:pt>
                <c:pt idx="11">
                  <c:v>12/10/2024</c:v>
                </c:pt>
                <c:pt idx="12">
                  <c:v>13/10/2024</c:v>
                </c:pt>
                <c:pt idx="13">
                  <c:v>14/10/2024</c:v>
                </c:pt>
                <c:pt idx="14">
                  <c:v>15/10/2024</c:v>
                </c:pt>
                <c:pt idx="15">
                  <c:v>16/10/2024</c:v>
                </c:pt>
                <c:pt idx="16">
                  <c:v>17/10/2024</c:v>
                </c:pt>
                <c:pt idx="17">
                  <c:v>18/10/2024</c:v>
                </c:pt>
                <c:pt idx="18">
                  <c:v>19/10/2024</c:v>
                </c:pt>
                <c:pt idx="19">
                  <c:v>20/10/2024</c:v>
                </c:pt>
                <c:pt idx="20">
                  <c:v>21/10/2024</c:v>
                </c:pt>
                <c:pt idx="21">
                  <c:v>22/10/2024</c:v>
                </c:pt>
                <c:pt idx="22">
                  <c:v>23/10/2024</c:v>
                </c:pt>
                <c:pt idx="23">
                  <c:v>24/10/2024</c:v>
                </c:pt>
                <c:pt idx="24">
                  <c:v>25/10/2024</c:v>
                </c:pt>
                <c:pt idx="25">
                  <c:v>26/10/2024</c:v>
                </c:pt>
                <c:pt idx="26">
                  <c:v>27/10/2024</c:v>
                </c:pt>
                <c:pt idx="27">
                  <c:v>28/10/2024</c:v>
                </c:pt>
                <c:pt idx="28">
                  <c:v>29/10/2024</c:v>
                </c:pt>
                <c:pt idx="29">
                  <c:v>30/10/2024</c:v>
                </c:pt>
              </c:strCache>
            </c:strRef>
          </c:cat>
          <c:val>
            <c:numRef>
              <c:f>KPI_Dashboard!$B$4:$B$34</c:f>
              <c:numCache>
                <c:formatCode>General</c:formatCode>
                <c:ptCount val="30"/>
                <c:pt idx="0">
                  <c:v>19925</c:v>
                </c:pt>
                <c:pt idx="1">
                  <c:v>17400</c:v>
                </c:pt>
                <c:pt idx="2">
                  <c:v>28000</c:v>
                </c:pt>
                <c:pt idx="3">
                  <c:v>25200</c:v>
                </c:pt>
                <c:pt idx="4">
                  <c:v>22887.5</c:v>
                </c:pt>
                <c:pt idx="5">
                  <c:v>20200</c:v>
                </c:pt>
                <c:pt idx="6">
                  <c:v>17762.5</c:v>
                </c:pt>
                <c:pt idx="7">
                  <c:v>15275</c:v>
                </c:pt>
                <c:pt idx="8">
                  <c:v>28000</c:v>
                </c:pt>
                <c:pt idx="9">
                  <c:v>25350</c:v>
                </c:pt>
                <c:pt idx="10">
                  <c:v>22525</c:v>
                </c:pt>
                <c:pt idx="11">
                  <c:v>20175</c:v>
                </c:pt>
                <c:pt idx="12">
                  <c:v>17450</c:v>
                </c:pt>
                <c:pt idx="13">
                  <c:v>15000</c:v>
                </c:pt>
                <c:pt idx="14">
                  <c:v>28000</c:v>
                </c:pt>
                <c:pt idx="15">
                  <c:v>25450</c:v>
                </c:pt>
                <c:pt idx="16">
                  <c:v>22775</c:v>
                </c:pt>
                <c:pt idx="17">
                  <c:v>19925</c:v>
                </c:pt>
                <c:pt idx="18">
                  <c:v>17550</c:v>
                </c:pt>
                <c:pt idx="19">
                  <c:v>28000</c:v>
                </c:pt>
                <c:pt idx="20">
                  <c:v>25537.5</c:v>
                </c:pt>
                <c:pt idx="21">
                  <c:v>23025</c:v>
                </c:pt>
                <c:pt idx="22">
                  <c:v>20462.5</c:v>
                </c:pt>
                <c:pt idx="23">
                  <c:v>17762.5</c:v>
                </c:pt>
                <c:pt idx="24">
                  <c:v>28000</c:v>
                </c:pt>
                <c:pt idx="25">
                  <c:v>25600</c:v>
                </c:pt>
                <c:pt idx="26">
                  <c:v>22825</c:v>
                </c:pt>
                <c:pt idx="27">
                  <c:v>20350</c:v>
                </c:pt>
                <c:pt idx="28">
                  <c:v>17825</c:v>
                </c:pt>
                <c:pt idx="29">
                  <c:v>28000</c:v>
                </c:pt>
              </c:numCache>
            </c:numRef>
          </c:val>
          <c:smooth val="0"/>
          <c:extLst>
            <c:ext xmlns:c16="http://schemas.microsoft.com/office/drawing/2014/chart" uri="{C3380CC4-5D6E-409C-BE32-E72D297353CC}">
              <c16:uniqueId val="{00000000-999D-4D0F-AB6F-60FDD75A4023}"/>
            </c:ext>
          </c:extLst>
        </c:ser>
        <c:ser>
          <c:idx val="1"/>
          <c:order val="1"/>
          <c:tx>
            <c:strRef>
              <c:f>KPI_Dashboard!$C$3</c:f>
              <c:strCache>
                <c:ptCount val="1"/>
                <c:pt idx="0">
                  <c:v>Safety Stock MT </c:v>
                </c:pt>
              </c:strCache>
            </c:strRef>
          </c:tx>
          <c:spPr>
            <a:ln w="28575" cap="rnd">
              <a:solidFill>
                <a:schemeClr val="accent5"/>
              </a:solidFill>
              <a:round/>
            </a:ln>
            <a:effectLst/>
          </c:spPr>
          <c:marker>
            <c:symbol val="none"/>
          </c:marker>
          <c:cat>
            <c:strRef>
              <c:f>KPI_Dashboard!$A$4:$A$34</c:f>
              <c:strCache>
                <c:ptCount val="30"/>
                <c:pt idx="0">
                  <c:v>01/10/2024</c:v>
                </c:pt>
                <c:pt idx="1">
                  <c:v>02/10/2024</c:v>
                </c:pt>
                <c:pt idx="2">
                  <c:v>03/10/2024</c:v>
                </c:pt>
                <c:pt idx="3">
                  <c:v>04/10/2024</c:v>
                </c:pt>
                <c:pt idx="4">
                  <c:v>05/10/2024</c:v>
                </c:pt>
                <c:pt idx="5">
                  <c:v>06/10/2024</c:v>
                </c:pt>
                <c:pt idx="6">
                  <c:v>07/10/2024</c:v>
                </c:pt>
                <c:pt idx="7">
                  <c:v>08/10/2024</c:v>
                </c:pt>
                <c:pt idx="8">
                  <c:v>09/10/2024</c:v>
                </c:pt>
                <c:pt idx="9">
                  <c:v>10/10/2024</c:v>
                </c:pt>
                <c:pt idx="10">
                  <c:v>11/10/2024</c:v>
                </c:pt>
                <c:pt idx="11">
                  <c:v>12/10/2024</c:v>
                </c:pt>
                <c:pt idx="12">
                  <c:v>13/10/2024</c:v>
                </c:pt>
                <c:pt idx="13">
                  <c:v>14/10/2024</c:v>
                </c:pt>
                <c:pt idx="14">
                  <c:v>15/10/2024</c:v>
                </c:pt>
                <c:pt idx="15">
                  <c:v>16/10/2024</c:v>
                </c:pt>
                <c:pt idx="16">
                  <c:v>17/10/2024</c:v>
                </c:pt>
                <c:pt idx="17">
                  <c:v>18/10/2024</c:v>
                </c:pt>
                <c:pt idx="18">
                  <c:v>19/10/2024</c:v>
                </c:pt>
                <c:pt idx="19">
                  <c:v>20/10/2024</c:v>
                </c:pt>
                <c:pt idx="20">
                  <c:v>21/10/2024</c:v>
                </c:pt>
                <c:pt idx="21">
                  <c:v>22/10/2024</c:v>
                </c:pt>
                <c:pt idx="22">
                  <c:v>23/10/2024</c:v>
                </c:pt>
                <c:pt idx="23">
                  <c:v>24/10/2024</c:v>
                </c:pt>
                <c:pt idx="24">
                  <c:v>25/10/2024</c:v>
                </c:pt>
                <c:pt idx="25">
                  <c:v>26/10/2024</c:v>
                </c:pt>
                <c:pt idx="26">
                  <c:v>27/10/2024</c:v>
                </c:pt>
                <c:pt idx="27">
                  <c:v>28/10/2024</c:v>
                </c:pt>
                <c:pt idx="28">
                  <c:v>29/10/2024</c:v>
                </c:pt>
                <c:pt idx="29">
                  <c:v>30/10/2024</c:v>
                </c:pt>
              </c:strCache>
            </c:strRef>
          </c:cat>
          <c:val>
            <c:numRef>
              <c:f>KPI_Dashboard!$C$4:$C$34</c:f>
              <c:numCache>
                <c:formatCode>General</c:formatCode>
                <c:ptCount val="30"/>
                <c:pt idx="0">
                  <c:v>14850</c:v>
                </c:pt>
                <c:pt idx="1">
                  <c:v>15150</c:v>
                </c:pt>
                <c:pt idx="2">
                  <c:v>15750</c:v>
                </c:pt>
                <c:pt idx="3">
                  <c:v>16800</c:v>
                </c:pt>
                <c:pt idx="4">
                  <c:v>13875</c:v>
                </c:pt>
                <c:pt idx="5">
                  <c:v>16125</c:v>
                </c:pt>
                <c:pt idx="6">
                  <c:v>14625</c:v>
                </c:pt>
                <c:pt idx="7">
                  <c:v>14925</c:v>
                </c:pt>
                <c:pt idx="8">
                  <c:v>15225</c:v>
                </c:pt>
                <c:pt idx="9">
                  <c:v>15900</c:v>
                </c:pt>
                <c:pt idx="10">
                  <c:v>16950</c:v>
                </c:pt>
                <c:pt idx="11">
                  <c:v>14100</c:v>
                </c:pt>
                <c:pt idx="12">
                  <c:v>16350</c:v>
                </c:pt>
                <c:pt idx="13">
                  <c:v>14700</c:v>
                </c:pt>
                <c:pt idx="14">
                  <c:v>15000</c:v>
                </c:pt>
                <c:pt idx="15">
                  <c:v>15300</c:v>
                </c:pt>
                <c:pt idx="16">
                  <c:v>16050</c:v>
                </c:pt>
                <c:pt idx="17">
                  <c:v>17100</c:v>
                </c:pt>
                <c:pt idx="18">
                  <c:v>14250</c:v>
                </c:pt>
                <c:pt idx="19">
                  <c:v>16500</c:v>
                </c:pt>
                <c:pt idx="20">
                  <c:v>14775</c:v>
                </c:pt>
                <c:pt idx="21">
                  <c:v>15075</c:v>
                </c:pt>
                <c:pt idx="22">
                  <c:v>15375</c:v>
                </c:pt>
                <c:pt idx="23">
                  <c:v>16200</c:v>
                </c:pt>
                <c:pt idx="24">
                  <c:v>17250</c:v>
                </c:pt>
                <c:pt idx="25">
                  <c:v>14400</c:v>
                </c:pt>
                <c:pt idx="26">
                  <c:v>16650</c:v>
                </c:pt>
                <c:pt idx="27">
                  <c:v>14850</c:v>
                </c:pt>
                <c:pt idx="28">
                  <c:v>15150</c:v>
                </c:pt>
                <c:pt idx="29">
                  <c:v>15450</c:v>
                </c:pt>
              </c:numCache>
            </c:numRef>
          </c:val>
          <c:smooth val="0"/>
          <c:extLst>
            <c:ext xmlns:c16="http://schemas.microsoft.com/office/drawing/2014/chart" uri="{C3380CC4-5D6E-409C-BE32-E72D297353CC}">
              <c16:uniqueId val="{00000001-999D-4D0F-AB6F-60FDD75A4023}"/>
            </c:ext>
          </c:extLst>
        </c:ser>
        <c:dLbls>
          <c:showLegendKey val="0"/>
          <c:showVal val="0"/>
          <c:showCatName val="0"/>
          <c:showSerName val="0"/>
          <c:showPercent val="0"/>
          <c:showBubbleSize val="0"/>
        </c:dLbls>
        <c:smooth val="0"/>
        <c:axId val="1543605119"/>
        <c:axId val="499927823"/>
      </c:lineChart>
      <c:catAx>
        <c:axId val="154360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27823"/>
        <c:crosses val="autoZero"/>
        <c:auto val="1"/>
        <c:lblAlgn val="ctr"/>
        <c:lblOffset val="100"/>
        <c:noMultiLvlLbl val="0"/>
      </c:catAx>
      <c:valAx>
        <c:axId val="49992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0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[aviation_fuel_supply_analysis.xlsx]KPI_Dashboard!PivotTable9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baseline="0"/>
              <a:t>Market Pricing &amp; Crack Spread Hedging Signals</a:t>
            </a:r>
            <a:endParaRPr lang="en-GB" sz="1600" b="1"/>
          </a:p>
        </c:rich>
      </c:tx>
      <c:layout>
        <c:manualLayout>
          <c:xMode val="edge"/>
          <c:yMode val="edge"/>
          <c:x val="0.22870617608335256"/>
          <c:y val="2.08706022659511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43000827496782E-2"/>
          <c:y val="2.6833631484794274E-2"/>
          <c:w val="0.73065434805481388"/>
          <c:h val="0.80547612675428093"/>
        </c:manualLayout>
      </c:layout>
      <c:barChart>
        <c:barDir val="col"/>
        <c:grouping val="clustered"/>
        <c:varyColors val="0"/>
        <c:ser>
          <c:idx val="1"/>
          <c:order val="1"/>
          <c:tx>
            <c:strRef>
              <c:f>KPI_Dashboard!$H$3</c:f>
              <c:strCache>
                <c:ptCount val="1"/>
                <c:pt idx="0">
                  <c:v>JetFuel_USD_MT </c:v>
                </c:pt>
              </c:strCache>
            </c:strRef>
          </c:tx>
          <c:spPr>
            <a:solidFill>
              <a:schemeClr val="accent5"/>
            </a:solidFill>
            <a:ln>
              <a:noFill/>
            </a:ln>
            <a:effectLst/>
          </c:spPr>
          <c:invertIfNegative val="0"/>
          <c:cat>
            <c:strRef>
              <c:f>KPI_Dashboard!$F$4:$F$11</c:f>
              <c:strCache>
                <c:ptCount val="7"/>
                <c:pt idx="0">
                  <c:v>16/10/2024</c:v>
                </c:pt>
                <c:pt idx="1">
                  <c:v>18/10/2024</c:v>
                </c:pt>
                <c:pt idx="2">
                  <c:v>19/10/2024</c:v>
                </c:pt>
                <c:pt idx="3">
                  <c:v>20/10/2024</c:v>
                </c:pt>
                <c:pt idx="4">
                  <c:v>28/10/2024</c:v>
                </c:pt>
                <c:pt idx="5">
                  <c:v>29/10/2024</c:v>
                </c:pt>
                <c:pt idx="6">
                  <c:v>30/10/2024</c:v>
                </c:pt>
              </c:strCache>
            </c:strRef>
          </c:cat>
          <c:val>
            <c:numRef>
              <c:f>KPI_Dashboard!$H$4:$H$11</c:f>
              <c:numCache>
                <c:formatCode>General</c:formatCode>
                <c:ptCount val="7"/>
                <c:pt idx="0">
                  <c:v>691.25</c:v>
                </c:pt>
                <c:pt idx="1">
                  <c:v>680.98</c:v>
                </c:pt>
                <c:pt idx="2">
                  <c:v>680.98</c:v>
                </c:pt>
                <c:pt idx="3">
                  <c:v>680.98</c:v>
                </c:pt>
                <c:pt idx="4">
                  <c:v>659.65</c:v>
                </c:pt>
                <c:pt idx="5">
                  <c:v>654.91</c:v>
                </c:pt>
                <c:pt idx="6">
                  <c:v>666.76</c:v>
                </c:pt>
              </c:numCache>
            </c:numRef>
          </c:val>
          <c:extLst>
            <c:ext xmlns:c16="http://schemas.microsoft.com/office/drawing/2014/chart" uri="{C3380CC4-5D6E-409C-BE32-E72D297353CC}">
              <c16:uniqueId val="{00000001-7715-4AF9-9416-801DF0E2C43B}"/>
            </c:ext>
          </c:extLst>
        </c:ser>
        <c:dLbls>
          <c:showLegendKey val="0"/>
          <c:showVal val="0"/>
          <c:showCatName val="0"/>
          <c:showSerName val="0"/>
          <c:showPercent val="0"/>
          <c:showBubbleSize val="0"/>
        </c:dLbls>
        <c:gapWidth val="219"/>
        <c:axId val="1543642239"/>
        <c:axId val="1084806031"/>
      </c:barChart>
      <c:lineChart>
        <c:grouping val="standard"/>
        <c:varyColors val="0"/>
        <c:ser>
          <c:idx val="0"/>
          <c:order val="0"/>
          <c:tx>
            <c:strRef>
              <c:f>KPI_Dashboard!$G$3</c:f>
              <c:strCache>
                <c:ptCount val="1"/>
                <c:pt idx="0">
                  <c:v>Brent_USD_bbl </c:v>
                </c:pt>
              </c:strCache>
            </c:strRef>
          </c:tx>
          <c:spPr>
            <a:ln w="28575" cap="rnd">
              <a:solidFill>
                <a:schemeClr val="accent6"/>
              </a:solidFill>
              <a:round/>
            </a:ln>
            <a:effectLst/>
          </c:spPr>
          <c:marker>
            <c:symbol val="none"/>
          </c:marker>
          <c:cat>
            <c:strRef>
              <c:f>KPI_Dashboard!$F$4:$F$11</c:f>
              <c:strCache>
                <c:ptCount val="7"/>
                <c:pt idx="0">
                  <c:v>16/10/2024</c:v>
                </c:pt>
                <c:pt idx="1">
                  <c:v>18/10/2024</c:v>
                </c:pt>
                <c:pt idx="2">
                  <c:v>19/10/2024</c:v>
                </c:pt>
                <c:pt idx="3">
                  <c:v>20/10/2024</c:v>
                </c:pt>
                <c:pt idx="4">
                  <c:v>28/10/2024</c:v>
                </c:pt>
                <c:pt idx="5">
                  <c:v>29/10/2024</c:v>
                </c:pt>
                <c:pt idx="6">
                  <c:v>30/10/2024</c:v>
                </c:pt>
              </c:strCache>
            </c:strRef>
          </c:cat>
          <c:val>
            <c:numRef>
              <c:f>KPI_Dashboard!$G$4:$G$11</c:f>
              <c:numCache>
                <c:formatCode>General</c:formatCode>
                <c:ptCount val="7"/>
                <c:pt idx="0">
                  <c:v>74.22</c:v>
                </c:pt>
                <c:pt idx="1">
                  <c:v>73.06</c:v>
                </c:pt>
                <c:pt idx="2">
                  <c:v>73.06</c:v>
                </c:pt>
                <c:pt idx="3">
                  <c:v>73.06</c:v>
                </c:pt>
                <c:pt idx="4">
                  <c:v>71.42</c:v>
                </c:pt>
                <c:pt idx="5">
                  <c:v>71.12</c:v>
                </c:pt>
                <c:pt idx="6">
                  <c:v>72.16</c:v>
                </c:pt>
              </c:numCache>
            </c:numRef>
          </c:val>
          <c:smooth val="0"/>
          <c:extLst>
            <c:ext xmlns:c16="http://schemas.microsoft.com/office/drawing/2014/chart" uri="{C3380CC4-5D6E-409C-BE32-E72D297353CC}">
              <c16:uniqueId val="{00000000-7715-4AF9-9416-801DF0E2C43B}"/>
            </c:ext>
          </c:extLst>
        </c:ser>
        <c:dLbls>
          <c:showLegendKey val="0"/>
          <c:showVal val="0"/>
          <c:showCatName val="0"/>
          <c:showSerName val="0"/>
          <c:showPercent val="0"/>
          <c:showBubbleSize val="0"/>
        </c:dLbls>
        <c:marker val="1"/>
        <c:smooth val="0"/>
        <c:axId val="1543626463"/>
        <c:axId val="1084808431"/>
      </c:lineChart>
      <c:catAx>
        <c:axId val="154364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806031"/>
        <c:crosses val="autoZero"/>
        <c:auto val="1"/>
        <c:lblAlgn val="ctr"/>
        <c:lblOffset val="100"/>
        <c:noMultiLvlLbl val="0"/>
      </c:catAx>
      <c:valAx>
        <c:axId val="1084806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42239"/>
        <c:crosses val="autoZero"/>
        <c:crossBetween val="between"/>
      </c:valAx>
      <c:valAx>
        <c:axId val="10848084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26463"/>
        <c:crosses val="max"/>
        <c:crossBetween val="between"/>
      </c:valAx>
      <c:catAx>
        <c:axId val="1543626463"/>
        <c:scaling>
          <c:orientation val="minMax"/>
        </c:scaling>
        <c:delete val="1"/>
        <c:axPos val="b"/>
        <c:numFmt formatCode="General" sourceLinked="1"/>
        <c:majorTickMark val="out"/>
        <c:minorTickMark val="none"/>
        <c:tickLblPos val="nextTo"/>
        <c:crossAx val="108480843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2</xdr:row>
      <xdr:rowOff>0</xdr:rowOff>
    </xdr:from>
    <xdr:to>
      <xdr:col>7</xdr:col>
      <xdr:colOff>297180</xdr:colOff>
      <xdr:row>58</xdr:row>
      <xdr:rowOff>137160</xdr:rowOff>
    </xdr:to>
    <xdr:graphicFrame macro="">
      <xdr:nvGraphicFramePr>
        <xdr:cNvPr id="2" name="Chart 1">
          <a:extLst>
            <a:ext uri="{FF2B5EF4-FFF2-40B4-BE49-F238E27FC236}">
              <a16:creationId xmlns:a16="http://schemas.microsoft.com/office/drawing/2014/main" id="{45931CB5-3D41-10B4-042C-67B07C2EF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289560</xdr:colOff>
      <xdr:row>34</xdr:row>
      <xdr:rowOff>7620</xdr:rowOff>
    </xdr:from>
    <xdr:to>
      <xdr:col>19</xdr:col>
      <xdr:colOff>137160</xdr:colOff>
      <xdr:row>58</xdr:row>
      <xdr:rowOff>167640</xdr:rowOff>
    </xdr:to>
    <xdr:graphicFrame macro="">
      <xdr:nvGraphicFramePr>
        <xdr:cNvPr id="3" name="Chart 2">
          <a:extLst>
            <a:ext uri="{FF2B5EF4-FFF2-40B4-BE49-F238E27FC236}">
              <a16:creationId xmlns:a16="http://schemas.microsoft.com/office/drawing/2014/main" id="{EF6E5BE0-6C05-6538-1991-0C8A20726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739140</xdr:colOff>
      <xdr:row>38</xdr:row>
      <xdr:rowOff>91441</xdr:rowOff>
    </xdr:from>
    <xdr:to>
      <xdr:col>6</xdr:col>
      <xdr:colOff>1722120</xdr:colOff>
      <xdr:row>45</xdr:row>
      <xdr:rowOff>76200</xdr:rowOff>
    </xdr:to>
    <mc:AlternateContent xmlns:mc="http://schemas.openxmlformats.org/markup-compatibility/2006">
      <mc:Choice xmlns:a14="http://schemas.microsoft.com/office/drawing/2010/main" Requires="a14">
        <xdr:graphicFrame macro="">
          <xdr:nvGraphicFramePr>
            <xdr:cNvPr id="4" name="Airport">
              <a:extLst>
                <a:ext uri="{FF2B5EF4-FFF2-40B4-BE49-F238E27FC236}">
                  <a16:creationId xmlns:a16="http://schemas.microsoft.com/office/drawing/2014/main" id="{BF48846C-4048-82D2-620B-90B832C27E6D}"/>
                </a:ext>
              </a:extLst>
            </xdr:cNvPr>
            <xdr:cNvGraphicFramePr/>
          </xdr:nvGraphicFramePr>
          <xdr:xfrm>
            <a:off x="0" y="0"/>
            <a:ext cx="0" cy="0"/>
          </xdr:xfrm>
          <a:graphic>
            <a:graphicData uri="http://schemas.microsoft.com/office/drawing/2010/slicer">
              <sle:slicer xmlns:sle="http://schemas.microsoft.com/office/drawing/2010/slicer" name="Airport"/>
            </a:graphicData>
          </a:graphic>
        </xdr:graphicFrame>
      </mc:Choice>
      <mc:Fallback>
        <xdr:sp macro="" textlink="">
          <xdr:nvSpPr>
            <xdr:cNvPr id="0" name=""/>
            <xdr:cNvSpPr>
              <a:spLocks noTextEdit="1"/>
            </xdr:cNvSpPr>
          </xdr:nvSpPr>
          <xdr:spPr>
            <a:xfrm>
              <a:off x="5379720" y="1005841"/>
              <a:ext cx="982980" cy="12649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274320</xdr:colOff>
      <xdr:row>37</xdr:row>
      <xdr:rowOff>7620</xdr:rowOff>
    </xdr:from>
    <xdr:to>
      <xdr:col>15</xdr:col>
      <xdr:colOff>320040</xdr:colOff>
      <xdr:row>42</xdr:row>
      <xdr:rowOff>45721</xdr:rowOff>
    </xdr:to>
    <mc:AlternateContent xmlns:mc="http://schemas.openxmlformats.org/markup-compatibility/2006">
      <mc:Choice xmlns:a14="http://schemas.microsoft.com/office/drawing/2010/main" Requires="a14">
        <xdr:graphicFrame macro="">
          <xdr:nvGraphicFramePr>
            <xdr:cNvPr id="5" name="Hedging_Signal">
              <a:extLst>
                <a:ext uri="{FF2B5EF4-FFF2-40B4-BE49-F238E27FC236}">
                  <a16:creationId xmlns:a16="http://schemas.microsoft.com/office/drawing/2014/main" id="{D221BD6E-1321-EE45-D041-7B60463780A7}"/>
                </a:ext>
              </a:extLst>
            </xdr:cNvPr>
            <xdr:cNvGraphicFramePr/>
          </xdr:nvGraphicFramePr>
          <xdr:xfrm>
            <a:off x="0" y="0"/>
            <a:ext cx="0" cy="0"/>
          </xdr:xfrm>
          <a:graphic>
            <a:graphicData uri="http://schemas.microsoft.com/office/drawing/2010/slicer">
              <sle:slicer xmlns:sle="http://schemas.microsoft.com/office/drawing/2010/slicer" name="Hedging_Signal"/>
            </a:graphicData>
          </a:graphic>
        </xdr:graphicFrame>
      </mc:Choice>
      <mc:Fallback>
        <xdr:sp macro="" textlink="">
          <xdr:nvSpPr>
            <xdr:cNvPr id="0" name=""/>
            <xdr:cNvSpPr>
              <a:spLocks noTextEdit="1"/>
            </xdr:cNvSpPr>
          </xdr:nvSpPr>
          <xdr:spPr>
            <a:xfrm>
              <a:off x="10317480" y="739140"/>
              <a:ext cx="1828800" cy="9525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ser Mahmood" refreshedDate="46284.563464930558" createdVersion="8" refreshedVersion="8" minRefreshableVersion="3" recordCount="90" xr:uid="{F922834B-6E6D-46A6-B813-132AFFC69AD7}">
  <cacheSource type="worksheet">
    <worksheetSource ref="A1:J91" sheet="Inventory_Engine"/>
  </cacheSource>
  <cacheFields count="10">
    <cacheField name="Date" numFmtId="14">
      <sharedItems containsSemiMixedTypes="0" containsNonDate="0" containsDate="1" containsString="0" minDate="2024-10-01T00:00:00" maxDate="2024-10-31T00:00:00" count="3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Airport" numFmtId="0">
      <sharedItems count="3">
        <s v="FRA"/>
        <s v="DUB"/>
        <s v="GVA"/>
      </sharedItems>
    </cacheField>
    <cacheField name="Flights" numFmtId="0">
      <sharedItems containsSemiMixedTypes="0" containsString="0" containsNumber="1" containsInteger="1" minValue="185" maxValue="658"/>
    </cacheField>
    <cacheField name="Daily Demand MT" numFmtId="0">
      <sharedItems containsSemiMixedTypes="0" containsString="0" containsNumber="1" minValue="2312.5" maxValue="15792"/>
    </cacheField>
    <cacheField name="Safety Stock MT" numFmtId="0">
      <sharedItems containsSemiMixedTypes="0" containsString="0" containsNumber="1" containsInteger="1" minValue="13875" maxValue="63168"/>
    </cacheField>
    <cacheField name="Starting Inventory" numFmtId="0">
      <sharedItems containsSemiMixedTypes="0" containsString="0" containsNumber="1" minValue="15000" maxValue="140000"/>
    </cacheField>
    <cacheField name="EOD Projected" numFmtId="0">
      <sharedItems containsSemiMixedTypes="0" containsString="0" containsNumber="1" minValue="12500" maxValue="126200"/>
    </cacheField>
    <cacheField name="Nomination Order MT" numFmtId="0">
      <sharedItems containsSemiMixedTypes="0" containsString="0" containsNumber="1" minValue="0" maxValue="90312"/>
    </cacheField>
    <cacheField name="Ending Inventory" numFmtId="0">
      <sharedItems containsSemiMixedTypes="0" containsString="0" containsNumber="1" minValue="15000" maxValue="140000"/>
    </cacheField>
    <cacheField name="Dispatch Action" numFmtId="0">
      <sharedItems/>
    </cacheField>
  </cacheFields>
  <extLst>
    <ext xmlns:x14="http://schemas.microsoft.com/office/spreadsheetml/2009/9/main" uri="{725AE2AE-9491-48be-B2B4-4EB974FC3084}">
      <x14:pivotCacheDefinition pivotCacheId="1325399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ser Mahmood" refreshedDate="46284.564181365742" createdVersion="8" refreshedVersion="8" minRefreshableVersion="3" recordCount="30" xr:uid="{FAEE84A1-626C-4814-8668-E8A331D7D31E}">
  <cacheSource type="worksheet">
    <worksheetSource ref="A1:F31" sheet="Raw_Market_Data"/>
  </cacheSource>
  <cacheFields count="6">
    <cacheField name="Date" numFmtId="14">
      <sharedItems containsSemiMixedTypes="0" containsNonDate="0" containsDate="1" containsString="0" minDate="2024-10-01T00:00:00" maxDate="2024-10-31T00:00:00" count="3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Brent_USD_bbl" numFmtId="0">
      <sharedItems containsSemiMixedTypes="0" containsString="0" containsNumber="1" minValue="71.12" maxValue="80.900000000000006"/>
    </cacheField>
    <cacheField name="JetFuel_USD_bbl" numFmtId="0">
      <sharedItems containsSemiMixedTypes="0" containsString="0" containsNumber="1" minValue="82.9" maxValue="97.1"/>
    </cacheField>
    <cacheField name="Crack_Spread_bbl" numFmtId="0">
      <sharedItems containsSemiMixedTypes="0" containsString="0" containsNumber="1" minValue="11.78" maxValue="16.2"/>
    </cacheField>
    <cacheField name="JetFuel_USD_MT" numFmtId="0">
      <sharedItems containsSemiMixedTypes="0" containsString="0" containsNumber="1" minValue="654.91" maxValue="767.09"/>
    </cacheField>
    <cacheField name="Hedging_Signal" numFmtId="0">
      <sharedItems count="2">
        <s v="HOLD STRATEGY"/>
        <s v="EXECUTE FORWARD HEDGE"/>
      </sharedItems>
    </cacheField>
  </cacheFields>
  <extLst>
    <ext xmlns:x14="http://schemas.microsoft.com/office/spreadsheetml/2009/9/main" uri="{725AE2AE-9491-48be-B2B4-4EB974FC3084}">
      <x14:pivotCacheDefinition pivotCacheId="1640454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n v="615"/>
    <n v="14760"/>
    <n v="59040"/>
    <n v="112000"/>
    <n v="97240"/>
    <n v="0"/>
    <n v="97240"/>
    <s v=""/>
  </r>
  <r>
    <x v="0"/>
    <x v="1"/>
    <n v="285"/>
    <n v="4560"/>
    <n v="22800"/>
    <n v="36000"/>
    <n v="31440"/>
    <n v="0"/>
    <n v="31440"/>
    <s v=""/>
  </r>
  <r>
    <x v="0"/>
    <x v="2"/>
    <n v="198"/>
    <n v="2475"/>
    <n v="14850"/>
    <n v="22400"/>
    <n v="19925"/>
    <n v="0"/>
    <n v="19925"/>
    <s v=""/>
  </r>
  <r>
    <x v="1"/>
    <x v="0"/>
    <n v="620"/>
    <n v="14880"/>
    <n v="59520"/>
    <n v="97240"/>
    <n v="82360"/>
    <n v="0"/>
    <n v="82360"/>
    <s v=""/>
  </r>
  <r>
    <x v="1"/>
    <x v="1"/>
    <n v="290"/>
    <n v="4640"/>
    <n v="23200"/>
    <n v="31440"/>
    <n v="26800"/>
    <n v="0"/>
    <n v="26800"/>
    <s v=""/>
  </r>
  <r>
    <x v="1"/>
    <x v="2"/>
    <n v="202"/>
    <n v="2525"/>
    <n v="15150"/>
    <n v="19925"/>
    <n v="17400"/>
    <n v="0"/>
    <n v="17400"/>
    <s v=""/>
  </r>
  <r>
    <x v="2"/>
    <x v="0"/>
    <n v="632"/>
    <n v="15168"/>
    <n v="60672"/>
    <n v="82360"/>
    <n v="67192"/>
    <n v="0"/>
    <n v="67192"/>
    <s v=""/>
  </r>
  <r>
    <x v="2"/>
    <x v="1"/>
    <n v="298"/>
    <n v="4768"/>
    <n v="23840"/>
    <n v="26800"/>
    <n v="22032"/>
    <n v="22968"/>
    <n v="45000"/>
    <s v="Sea Vessel (MR Tanker)"/>
  </r>
  <r>
    <x v="2"/>
    <x v="2"/>
    <n v="210"/>
    <n v="2625"/>
    <n v="15750"/>
    <n v="17400"/>
    <n v="14775"/>
    <n v="13225"/>
    <n v="28000"/>
    <s v="12 Block Trains"/>
  </r>
  <r>
    <x v="3"/>
    <x v="0"/>
    <n v="648"/>
    <n v="15552"/>
    <n v="62208"/>
    <n v="67192"/>
    <n v="51640"/>
    <n v="88360"/>
    <n v="140000"/>
    <s v="Pipeline Batch"/>
  </r>
  <r>
    <x v="3"/>
    <x v="1"/>
    <n v="312"/>
    <n v="4992"/>
    <n v="24960"/>
    <n v="45000"/>
    <n v="40008"/>
    <n v="0"/>
    <n v="40008"/>
    <s v=""/>
  </r>
  <r>
    <x v="3"/>
    <x v="2"/>
    <n v="224"/>
    <n v="2800"/>
    <n v="16800"/>
    <n v="28000"/>
    <n v="25200"/>
    <n v="0"/>
    <n v="25200"/>
    <s v=""/>
  </r>
  <r>
    <x v="4"/>
    <x v="0"/>
    <n v="575"/>
    <n v="13800"/>
    <n v="55200"/>
    <n v="140000"/>
    <n v="126200"/>
    <n v="0"/>
    <n v="126200"/>
    <s v=""/>
  </r>
  <r>
    <x v="4"/>
    <x v="1"/>
    <n v="265"/>
    <n v="4240"/>
    <n v="21200"/>
    <n v="40008"/>
    <n v="35768"/>
    <n v="0"/>
    <n v="35768"/>
    <s v=""/>
  </r>
  <r>
    <x v="4"/>
    <x v="2"/>
    <n v="185"/>
    <n v="2312.5"/>
    <n v="13875"/>
    <n v="25200"/>
    <n v="22887.5"/>
    <n v="0"/>
    <n v="22887.5"/>
    <s v=""/>
  </r>
  <r>
    <x v="5"/>
    <x v="0"/>
    <n v="630"/>
    <n v="15120"/>
    <n v="60480"/>
    <n v="126200"/>
    <n v="111080"/>
    <n v="0"/>
    <n v="111080"/>
    <s v=""/>
  </r>
  <r>
    <x v="5"/>
    <x v="1"/>
    <n v="305"/>
    <n v="4880"/>
    <n v="24400"/>
    <n v="35768"/>
    <n v="30888"/>
    <n v="0"/>
    <n v="30888"/>
    <s v=""/>
  </r>
  <r>
    <x v="5"/>
    <x v="2"/>
    <n v="215"/>
    <n v="2687.5"/>
    <n v="16125"/>
    <n v="22887.5"/>
    <n v="20200"/>
    <n v="0"/>
    <n v="20200"/>
    <s v=""/>
  </r>
  <r>
    <x v="6"/>
    <x v="0"/>
    <n v="610"/>
    <n v="14640"/>
    <n v="58560"/>
    <n v="111080"/>
    <n v="96440"/>
    <n v="0"/>
    <n v="96440"/>
    <s v=""/>
  </r>
  <r>
    <x v="6"/>
    <x v="1"/>
    <n v="282"/>
    <n v="4512"/>
    <n v="22560"/>
    <n v="30888"/>
    <n v="26376"/>
    <n v="0"/>
    <n v="26376"/>
    <s v=""/>
  </r>
  <r>
    <x v="6"/>
    <x v="2"/>
    <n v="195"/>
    <n v="2437.5"/>
    <n v="14625"/>
    <n v="20200"/>
    <n v="17762.5"/>
    <n v="0"/>
    <n v="17762.5"/>
    <s v=""/>
  </r>
  <r>
    <x v="7"/>
    <x v="0"/>
    <n v="618"/>
    <n v="14832"/>
    <n v="59328"/>
    <n v="96440"/>
    <n v="81608"/>
    <n v="0"/>
    <n v="81608"/>
    <s v=""/>
  </r>
  <r>
    <x v="7"/>
    <x v="1"/>
    <n v="288"/>
    <n v="4608"/>
    <n v="23040"/>
    <n v="26376"/>
    <n v="21768"/>
    <n v="23232"/>
    <n v="45000"/>
    <s v="Sea Vessel (MR Tanker)"/>
  </r>
  <r>
    <x v="7"/>
    <x v="2"/>
    <n v="199"/>
    <n v="2487.5"/>
    <n v="14925"/>
    <n v="17762.5"/>
    <n v="15275"/>
    <n v="0"/>
    <n v="15275"/>
    <s v=""/>
  </r>
  <r>
    <x v="8"/>
    <x v="0"/>
    <n v="622"/>
    <n v="14928"/>
    <n v="59712"/>
    <n v="81608"/>
    <n v="66680"/>
    <n v="0"/>
    <n v="66680"/>
    <s v=""/>
  </r>
  <r>
    <x v="8"/>
    <x v="1"/>
    <n v="292"/>
    <n v="4672"/>
    <n v="23360"/>
    <n v="45000"/>
    <n v="40328"/>
    <n v="0"/>
    <n v="40328"/>
    <s v=""/>
  </r>
  <r>
    <x v="8"/>
    <x v="2"/>
    <n v="203"/>
    <n v="2537.5"/>
    <n v="15225"/>
    <n v="15275"/>
    <n v="12737.5"/>
    <n v="15262.5"/>
    <n v="28000"/>
    <s v="13 Block Trains"/>
  </r>
  <r>
    <x v="9"/>
    <x v="0"/>
    <n v="635"/>
    <n v="15240"/>
    <n v="60960"/>
    <n v="66680"/>
    <n v="51440"/>
    <n v="88560"/>
    <n v="140000"/>
    <s v="Pipeline Batch"/>
  </r>
  <r>
    <x v="9"/>
    <x v="1"/>
    <n v="300"/>
    <n v="4800"/>
    <n v="24000"/>
    <n v="40328"/>
    <n v="35528"/>
    <n v="0"/>
    <n v="35528"/>
    <s v=""/>
  </r>
  <r>
    <x v="9"/>
    <x v="2"/>
    <n v="212"/>
    <n v="2650"/>
    <n v="15900"/>
    <n v="28000"/>
    <n v="25350"/>
    <n v="0"/>
    <n v="25350"/>
    <s v=""/>
  </r>
  <r>
    <x v="10"/>
    <x v="0"/>
    <n v="652"/>
    <n v="15648"/>
    <n v="62592"/>
    <n v="140000"/>
    <n v="124352"/>
    <n v="0"/>
    <n v="124352"/>
    <s v=""/>
  </r>
  <r>
    <x v="10"/>
    <x v="1"/>
    <n v="315"/>
    <n v="5040"/>
    <n v="25200"/>
    <n v="35528"/>
    <n v="30488"/>
    <n v="0"/>
    <n v="30488"/>
    <s v=""/>
  </r>
  <r>
    <x v="10"/>
    <x v="2"/>
    <n v="226"/>
    <n v="2825"/>
    <n v="16950"/>
    <n v="25350"/>
    <n v="22525"/>
    <n v="0"/>
    <n v="22525"/>
    <s v=""/>
  </r>
  <r>
    <x v="11"/>
    <x v="0"/>
    <n v="580"/>
    <n v="13920"/>
    <n v="55680"/>
    <n v="124352"/>
    <n v="110432"/>
    <n v="0"/>
    <n v="110432"/>
    <s v=""/>
  </r>
  <r>
    <x v="11"/>
    <x v="1"/>
    <n v="268"/>
    <n v="4288"/>
    <n v="21440"/>
    <n v="30488"/>
    <n v="26200"/>
    <n v="0"/>
    <n v="26200"/>
    <s v=""/>
  </r>
  <r>
    <x v="11"/>
    <x v="2"/>
    <n v="188"/>
    <n v="2350"/>
    <n v="14100"/>
    <n v="22525"/>
    <n v="20175"/>
    <n v="0"/>
    <n v="20175"/>
    <s v=""/>
  </r>
  <r>
    <x v="12"/>
    <x v="0"/>
    <n v="634"/>
    <n v="15216"/>
    <n v="60864"/>
    <n v="110432"/>
    <n v="95216"/>
    <n v="0"/>
    <n v="95216"/>
    <s v=""/>
  </r>
  <r>
    <x v="12"/>
    <x v="1"/>
    <n v="308"/>
    <n v="4928"/>
    <n v="24640"/>
    <n v="26200"/>
    <n v="21272"/>
    <n v="23728"/>
    <n v="45000"/>
    <s v="Sea Vessel (MR Tanker)"/>
  </r>
  <r>
    <x v="12"/>
    <x v="2"/>
    <n v="218"/>
    <n v="2725"/>
    <n v="16350"/>
    <n v="20175"/>
    <n v="17450"/>
    <n v="0"/>
    <n v="17450"/>
    <s v=""/>
  </r>
  <r>
    <x v="13"/>
    <x v="0"/>
    <n v="612"/>
    <n v="14688"/>
    <n v="58752"/>
    <n v="95216"/>
    <n v="80528"/>
    <n v="0"/>
    <n v="80528"/>
    <s v=""/>
  </r>
  <r>
    <x v="13"/>
    <x v="1"/>
    <n v="284"/>
    <n v="4544"/>
    <n v="22720"/>
    <n v="45000"/>
    <n v="40456"/>
    <n v="0"/>
    <n v="40456"/>
    <s v=""/>
  </r>
  <r>
    <x v="13"/>
    <x v="2"/>
    <n v="196"/>
    <n v="2450"/>
    <n v="14700"/>
    <n v="17450"/>
    <n v="15000"/>
    <n v="0"/>
    <n v="15000"/>
    <s v=""/>
  </r>
  <r>
    <x v="14"/>
    <x v="0"/>
    <n v="616"/>
    <n v="14784"/>
    <n v="59136"/>
    <n v="80528"/>
    <n v="65744"/>
    <n v="0"/>
    <n v="65744"/>
    <s v=""/>
  </r>
  <r>
    <x v="14"/>
    <x v="1"/>
    <n v="286"/>
    <n v="4576"/>
    <n v="22880"/>
    <n v="40456"/>
    <n v="35880"/>
    <n v="0"/>
    <n v="35880"/>
    <s v=""/>
  </r>
  <r>
    <x v="14"/>
    <x v="2"/>
    <n v="200"/>
    <n v="2500"/>
    <n v="15000"/>
    <n v="15000"/>
    <n v="12500"/>
    <n v="15500"/>
    <n v="28000"/>
    <s v="13 Block Trains"/>
  </r>
  <r>
    <x v="15"/>
    <x v="0"/>
    <n v="624"/>
    <n v="14976"/>
    <n v="59904"/>
    <n v="65744"/>
    <n v="50768"/>
    <n v="89232"/>
    <n v="140000"/>
    <s v="Pipeline Batch"/>
  </r>
  <r>
    <x v="15"/>
    <x v="1"/>
    <n v="294"/>
    <n v="4704"/>
    <n v="23520"/>
    <n v="35880"/>
    <n v="31176"/>
    <n v="0"/>
    <n v="31176"/>
    <s v=""/>
  </r>
  <r>
    <x v="15"/>
    <x v="2"/>
    <n v="204"/>
    <n v="2550"/>
    <n v="15300"/>
    <n v="28000"/>
    <n v="25450"/>
    <n v="0"/>
    <n v="25450"/>
    <s v=""/>
  </r>
  <r>
    <x v="16"/>
    <x v="0"/>
    <n v="638"/>
    <n v="15312"/>
    <n v="61248"/>
    <n v="140000"/>
    <n v="124688"/>
    <n v="0"/>
    <n v="124688"/>
    <s v=""/>
  </r>
  <r>
    <x v="16"/>
    <x v="1"/>
    <n v="302"/>
    <n v="4832"/>
    <n v="24160"/>
    <n v="31176"/>
    <n v="26344"/>
    <n v="0"/>
    <n v="26344"/>
    <s v=""/>
  </r>
  <r>
    <x v="16"/>
    <x v="2"/>
    <n v="214"/>
    <n v="2675"/>
    <n v="16050"/>
    <n v="25450"/>
    <n v="22775"/>
    <n v="0"/>
    <n v="22775"/>
    <s v=""/>
  </r>
  <r>
    <x v="17"/>
    <x v="0"/>
    <n v="655"/>
    <n v="15720"/>
    <n v="62880"/>
    <n v="124688"/>
    <n v="108968"/>
    <n v="0"/>
    <n v="108968"/>
    <s v=""/>
  </r>
  <r>
    <x v="17"/>
    <x v="1"/>
    <n v="318"/>
    <n v="5088"/>
    <n v="25440"/>
    <n v="26344"/>
    <n v="21256"/>
    <n v="23744"/>
    <n v="45000"/>
    <s v="Sea Vessel (MR Tanker)"/>
  </r>
  <r>
    <x v="17"/>
    <x v="2"/>
    <n v="228"/>
    <n v="2850"/>
    <n v="17100"/>
    <n v="22775"/>
    <n v="19925"/>
    <n v="0"/>
    <n v="19925"/>
    <s v=""/>
  </r>
  <r>
    <x v="18"/>
    <x v="0"/>
    <n v="582"/>
    <n v="13968"/>
    <n v="55872"/>
    <n v="108968"/>
    <n v="95000"/>
    <n v="0"/>
    <n v="95000"/>
    <s v=""/>
  </r>
  <r>
    <x v="18"/>
    <x v="1"/>
    <n v="270"/>
    <n v="4320"/>
    <n v="21600"/>
    <n v="45000"/>
    <n v="40680"/>
    <n v="0"/>
    <n v="40680"/>
    <s v=""/>
  </r>
  <r>
    <x v="18"/>
    <x v="2"/>
    <n v="190"/>
    <n v="2375"/>
    <n v="14250"/>
    <n v="19925"/>
    <n v="17550"/>
    <n v="0"/>
    <n v="17550"/>
    <s v=""/>
  </r>
  <r>
    <x v="19"/>
    <x v="0"/>
    <n v="636"/>
    <n v="15264"/>
    <n v="61056"/>
    <n v="95000"/>
    <n v="79736"/>
    <n v="0"/>
    <n v="79736"/>
    <s v=""/>
  </r>
  <r>
    <x v="19"/>
    <x v="1"/>
    <n v="310"/>
    <n v="4960"/>
    <n v="24800"/>
    <n v="40680"/>
    <n v="35720"/>
    <n v="0"/>
    <n v="35720"/>
    <s v=""/>
  </r>
  <r>
    <x v="19"/>
    <x v="2"/>
    <n v="220"/>
    <n v="2750"/>
    <n v="16500"/>
    <n v="17550"/>
    <n v="14800"/>
    <n v="13200"/>
    <n v="28000"/>
    <s v="11 Block Trains"/>
  </r>
  <r>
    <x v="20"/>
    <x v="0"/>
    <n v="614"/>
    <n v="14736"/>
    <n v="58944"/>
    <n v="79736"/>
    <n v="65000"/>
    <n v="0"/>
    <n v="65000"/>
    <s v=""/>
  </r>
  <r>
    <x v="20"/>
    <x v="1"/>
    <n v="285"/>
    <n v="4560"/>
    <n v="22800"/>
    <n v="35720"/>
    <n v="31160"/>
    <n v="0"/>
    <n v="31160"/>
    <s v=""/>
  </r>
  <r>
    <x v="20"/>
    <x v="2"/>
    <n v="197"/>
    <n v="2462.5"/>
    <n v="14775"/>
    <n v="28000"/>
    <n v="25537.5"/>
    <n v="0"/>
    <n v="25537.5"/>
    <s v=""/>
  </r>
  <r>
    <x v="21"/>
    <x v="0"/>
    <n v="619"/>
    <n v="14856"/>
    <n v="59424"/>
    <n v="65000"/>
    <n v="50144"/>
    <n v="89856"/>
    <n v="140000"/>
    <s v="Pipeline Batch"/>
  </r>
  <r>
    <x v="21"/>
    <x v="1"/>
    <n v="289"/>
    <n v="4624"/>
    <n v="23120"/>
    <n v="31160"/>
    <n v="26536"/>
    <n v="0"/>
    <n v="26536"/>
    <s v=""/>
  </r>
  <r>
    <x v="21"/>
    <x v="2"/>
    <n v="201"/>
    <n v="2512.5"/>
    <n v="15075"/>
    <n v="25537.5"/>
    <n v="23025"/>
    <n v="0"/>
    <n v="23025"/>
    <s v=""/>
  </r>
  <r>
    <x v="22"/>
    <x v="0"/>
    <n v="626"/>
    <n v="15024"/>
    <n v="60096"/>
    <n v="140000"/>
    <n v="124976"/>
    <n v="0"/>
    <n v="124976"/>
    <s v=""/>
  </r>
  <r>
    <x v="22"/>
    <x v="1"/>
    <n v="295"/>
    <n v="4720"/>
    <n v="23600"/>
    <n v="26536"/>
    <n v="21816"/>
    <n v="23184"/>
    <n v="45000"/>
    <s v="Sea Vessel (MR Tanker)"/>
  </r>
  <r>
    <x v="22"/>
    <x v="2"/>
    <n v="205"/>
    <n v="2562.5"/>
    <n v="15375"/>
    <n v="23025"/>
    <n v="20462.5"/>
    <n v="0"/>
    <n v="20462.5"/>
    <s v=""/>
  </r>
  <r>
    <x v="23"/>
    <x v="0"/>
    <n v="640"/>
    <n v="15360"/>
    <n v="61440"/>
    <n v="124976"/>
    <n v="109616"/>
    <n v="0"/>
    <n v="109616"/>
    <s v=""/>
  </r>
  <r>
    <x v="23"/>
    <x v="1"/>
    <n v="304"/>
    <n v="4864"/>
    <n v="24320"/>
    <n v="45000"/>
    <n v="40136"/>
    <n v="0"/>
    <n v="40136"/>
    <s v=""/>
  </r>
  <r>
    <x v="23"/>
    <x v="2"/>
    <n v="216"/>
    <n v="2700"/>
    <n v="16200"/>
    <n v="20462.5"/>
    <n v="17762.5"/>
    <n v="0"/>
    <n v="17762.5"/>
    <s v=""/>
  </r>
  <r>
    <x v="24"/>
    <x v="0"/>
    <n v="658"/>
    <n v="15792"/>
    <n v="63168"/>
    <n v="109616"/>
    <n v="93824"/>
    <n v="0"/>
    <n v="93824"/>
    <s v=""/>
  </r>
  <r>
    <x v="24"/>
    <x v="1"/>
    <n v="320"/>
    <n v="5120"/>
    <n v="25600"/>
    <n v="40136"/>
    <n v="35016"/>
    <n v="0"/>
    <n v="35016"/>
    <s v=""/>
  </r>
  <r>
    <x v="24"/>
    <x v="2"/>
    <n v="230"/>
    <n v="2875"/>
    <n v="17250"/>
    <n v="17762.5"/>
    <n v="14887.5"/>
    <n v="13112.5"/>
    <n v="28000"/>
    <s v="11 Block Trains"/>
  </r>
  <r>
    <x v="25"/>
    <x v="0"/>
    <n v="585"/>
    <n v="14040"/>
    <n v="56160"/>
    <n v="93824"/>
    <n v="79784"/>
    <n v="0"/>
    <n v="79784"/>
    <s v=""/>
  </r>
  <r>
    <x v="25"/>
    <x v="1"/>
    <n v="272"/>
    <n v="4352"/>
    <n v="21760"/>
    <n v="35016"/>
    <n v="30664"/>
    <n v="0"/>
    <n v="30664"/>
    <s v=""/>
  </r>
  <r>
    <x v="25"/>
    <x v="2"/>
    <n v="192"/>
    <n v="2400"/>
    <n v="14400"/>
    <n v="28000"/>
    <n v="25600"/>
    <n v="0"/>
    <n v="25600"/>
    <s v=""/>
  </r>
  <r>
    <x v="26"/>
    <x v="0"/>
    <n v="638"/>
    <n v="15312"/>
    <n v="61248"/>
    <n v="79784"/>
    <n v="64472"/>
    <n v="0"/>
    <n v="64472"/>
    <s v=""/>
  </r>
  <r>
    <x v="26"/>
    <x v="1"/>
    <n v="312"/>
    <n v="4992"/>
    <n v="24960"/>
    <n v="30664"/>
    <n v="25672"/>
    <n v="0"/>
    <n v="25672"/>
    <s v=""/>
  </r>
  <r>
    <x v="26"/>
    <x v="2"/>
    <n v="222"/>
    <n v="2775"/>
    <n v="16650"/>
    <n v="25600"/>
    <n v="22825"/>
    <n v="0"/>
    <n v="22825"/>
    <s v=""/>
  </r>
  <r>
    <x v="27"/>
    <x v="0"/>
    <n v="616"/>
    <n v="14784"/>
    <n v="59136"/>
    <n v="64472"/>
    <n v="49688"/>
    <n v="90312"/>
    <n v="140000"/>
    <s v="Pipeline Batch"/>
  </r>
  <r>
    <x v="27"/>
    <x v="1"/>
    <n v="286"/>
    <n v="4576"/>
    <n v="22880"/>
    <n v="25672"/>
    <n v="21096"/>
    <n v="23904"/>
    <n v="45000"/>
    <s v="Sea Vessel (MR Tanker)"/>
  </r>
  <r>
    <x v="27"/>
    <x v="2"/>
    <n v="198"/>
    <n v="2475"/>
    <n v="14850"/>
    <n v="22825"/>
    <n v="20350"/>
    <n v="0"/>
    <n v="20350"/>
    <s v=""/>
  </r>
  <r>
    <x v="28"/>
    <x v="0"/>
    <n v="621"/>
    <n v="14904"/>
    <n v="59616"/>
    <n v="140000"/>
    <n v="125096"/>
    <n v="0"/>
    <n v="125096"/>
    <s v=""/>
  </r>
  <r>
    <x v="28"/>
    <x v="1"/>
    <n v="290"/>
    <n v="4640"/>
    <n v="23200"/>
    <n v="45000"/>
    <n v="40360"/>
    <n v="0"/>
    <n v="40360"/>
    <s v=""/>
  </r>
  <r>
    <x v="28"/>
    <x v="2"/>
    <n v="202"/>
    <n v="2525"/>
    <n v="15150"/>
    <n v="20350"/>
    <n v="17825"/>
    <n v="0"/>
    <n v="17825"/>
    <s v=""/>
  </r>
  <r>
    <x v="29"/>
    <x v="0"/>
    <n v="628"/>
    <n v="15072"/>
    <n v="60288"/>
    <n v="125096"/>
    <n v="110024"/>
    <n v="0"/>
    <n v="110024"/>
    <s v=""/>
  </r>
  <r>
    <x v="29"/>
    <x v="1"/>
    <n v="296"/>
    <n v="4736"/>
    <n v="23680"/>
    <n v="40360"/>
    <n v="35624"/>
    <n v="0"/>
    <n v="35624"/>
    <s v=""/>
  </r>
  <r>
    <x v="29"/>
    <x v="2"/>
    <n v="206"/>
    <n v="2575"/>
    <n v="15450"/>
    <n v="17825"/>
    <n v="15250"/>
    <n v="12750"/>
    <n v="28000"/>
    <s v="11 Block Train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74.599999999999994"/>
    <n v="88.2"/>
    <n v="13.6"/>
    <n v="696.78"/>
    <x v="0"/>
  </r>
  <r>
    <x v="1"/>
    <n v="75.099999999999994"/>
    <n v="89.3"/>
    <n v="14.2"/>
    <n v="705.47"/>
    <x v="0"/>
  </r>
  <r>
    <x v="2"/>
    <n v="77.599999999999994"/>
    <n v="92.4"/>
    <n v="14.8"/>
    <n v="729.96"/>
    <x v="0"/>
  </r>
  <r>
    <x v="3"/>
    <n v="78.05"/>
    <n v="93.5"/>
    <n v="15.45"/>
    <n v="738.65"/>
    <x v="0"/>
  </r>
  <r>
    <x v="4"/>
    <n v="78.05"/>
    <n v="93.5"/>
    <n v="15.45"/>
    <n v="738.65"/>
    <x v="0"/>
  </r>
  <r>
    <x v="5"/>
    <n v="78.05"/>
    <n v="93.5"/>
    <n v="15.45"/>
    <n v="738.65"/>
    <x v="0"/>
  </r>
  <r>
    <x v="6"/>
    <n v="80.900000000000006"/>
    <n v="97.1"/>
    <n v="16.2"/>
    <n v="767.09"/>
    <x v="0"/>
  </r>
  <r>
    <x v="7"/>
    <n v="77.2"/>
    <n v="93"/>
    <n v="15.8"/>
    <n v="734.7"/>
    <x v="0"/>
  </r>
  <r>
    <x v="8"/>
    <n v="76.599999999999994"/>
    <n v="91.8"/>
    <n v="15.2"/>
    <n v="725.22"/>
    <x v="0"/>
  </r>
  <r>
    <x v="9"/>
    <n v="79.400000000000006"/>
    <n v="95.2"/>
    <n v="15.8"/>
    <n v="752.08"/>
    <x v="0"/>
  </r>
  <r>
    <x v="10"/>
    <n v="79.040000000000006"/>
    <n v="94.6"/>
    <n v="15.56"/>
    <n v="747.34"/>
    <x v="0"/>
  </r>
  <r>
    <x v="11"/>
    <n v="79.040000000000006"/>
    <n v="94.6"/>
    <n v="15.56"/>
    <n v="747.34"/>
    <x v="0"/>
  </r>
  <r>
    <x v="12"/>
    <n v="79.040000000000006"/>
    <n v="94.6"/>
    <n v="15.56"/>
    <n v="747.34"/>
    <x v="0"/>
  </r>
  <r>
    <x v="13"/>
    <n v="77.400000000000006"/>
    <n v="92.1"/>
    <n v="14.7"/>
    <n v="727.59"/>
    <x v="0"/>
  </r>
  <r>
    <x v="14"/>
    <n v="74.25"/>
    <n v="87.9"/>
    <n v="13.65"/>
    <n v="694.41"/>
    <x v="0"/>
  </r>
  <r>
    <x v="15"/>
    <n v="74.22"/>
    <n v="87.5"/>
    <n v="13.28"/>
    <n v="691.25"/>
    <x v="1"/>
  </r>
  <r>
    <x v="16"/>
    <n v="74.45"/>
    <n v="88.1"/>
    <n v="13.65"/>
    <n v="695.99"/>
    <x v="0"/>
  </r>
  <r>
    <x v="17"/>
    <n v="73.06"/>
    <n v="86.2"/>
    <n v="13.14"/>
    <n v="680.98"/>
    <x v="1"/>
  </r>
  <r>
    <x v="18"/>
    <n v="73.06"/>
    <n v="86.2"/>
    <n v="13.14"/>
    <n v="680.98"/>
    <x v="1"/>
  </r>
  <r>
    <x v="19"/>
    <n v="73.06"/>
    <n v="86.2"/>
    <n v="13.14"/>
    <n v="680.98"/>
    <x v="1"/>
  </r>
  <r>
    <x v="20"/>
    <n v="74.290000000000006"/>
    <n v="87.8"/>
    <n v="13.51"/>
    <n v="693.62"/>
    <x v="0"/>
  </r>
  <r>
    <x v="21"/>
    <n v="76.040000000000006"/>
    <n v="90.1"/>
    <n v="14.06"/>
    <n v="711.79"/>
    <x v="0"/>
  </r>
  <r>
    <x v="22"/>
    <n v="74.959999999999994"/>
    <n v="88.7"/>
    <n v="13.74"/>
    <n v="700.73"/>
    <x v="0"/>
  </r>
  <r>
    <x v="23"/>
    <n v="74.38"/>
    <n v="87.9"/>
    <n v="13.52"/>
    <n v="694.41"/>
    <x v="0"/>
  </r>
  <r>
    <x v="24"/>
    <n v="76.05"/>
    <n v="89.8"/>
    <n v="13.75"/>
    <n v="709.42"/>
    <x v="0"/>
  </r>
  <r>
    <x v="25"/>
    <n v="76.05"/>
    <n v="89.8"/>
    <n v="13.75"/>
    <n v="709.42"/>
    <x v="0"/>
  </r>
  <r>
    <x v="26"/>
    <n v="76.05"/>
    <n v="89.8"/>
    <n v="13.75"/>
    <n v="709.42"/>
    <x v="0"/>
  </r>
  <r>
    <x v="27"/>
    <n v="71.42"/>
    <n v="83.5"/>
    <n v="12.08"/>
    <n v="659.65"/>
    <x v="1"/>
  </r>
  <r>
    <x v="28"/>
    <n v="71.12"/>
    <n v="82.9"/>
    <n v="11.78"/>
    <n v="654.91"/>
    <x v="1"/>
  </r>
  <r>
    <x v="29"/>
    <n v="72.16"/>
    <n v="84.4"/>
    <n v="12.24"/>
    <n v="666.7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452DD3-7F31-4DF0-944D-6EA9EE479E6D}" name="PivotTable9"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
  <location ref="F3:H11" firstHeaderRow="0" firstDataRow="1" firstDataCol="1" rowPageCount="1" colPageCount="1"/>
  <pivotFields count="6">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showAll="0"/>
    <pivotField showAll="0"/>
    <pivotField dataField="1" showAll="0"/>
    <pivotField axis="axisPage" showAll="0">
      <items count="3">
        <item x="1"/>
        <item x="0"/>
        <item t="default"/>
      </items>
    </pivotField>
  </pivotFields>
  <rowFields count="1">
    <field x="0"/>
  </rowFields>
  <rowItems count="8">
    <i>
      <x v="15"/>
    </i>
    <i>
      <x v="17"/>
    </i>
    <i>
      <x v="18"/>
    </i>
    <i>
      <x v="19"/>
    </i>
    <i>
      <x v="27"/>
    </i>
    <i>
      <x v="28"/>
    </i>
    <i>
      <x v="29"/>
    </i>
    <i t="grand">
      <x/>
    </i>
  </rowItems>
  <colFields count="1">
    <field x="-2"/>
  </colFields>
  <colItems count="2">
    <i>
      <x/>
    </i>
    <i i="1">
      <x v="1"/>
    </i>
  </colItems>
  <pageFields count="1">
    <pageField fld="5" item="0" hier="-1"/>
  </pageFields>
  <dataFields count="2">
    <dataField name="Brent_USD_bbl " fld="1" baseField="0" baseItem="0"/>
    <dataField name="JetFuel_USD_MT " fld="4" baseField="0" baseItem="0"/>
  </dataFields>
  <formats count="4">
    <format dxfId="119">
      <pivotArea field="0" type="button" dataOnly="0" labelOnly="1" outline="0" axis="axisRow" fieldPosition="0"/>
    </format>
    <format dxfId="118">
      <pivotArea dataOnly="0" labelOnly="1" outline="0" fieldPosition="0">
        <references count="1">
          <reference field="4294967294" count="2">
            <x v="0"/>
            <x v="1"/>
          </reference>
        </references>
      </pivotArea>
    </format>
    <format dxfId="117">
      <pivotArea field="0" type="button" dataOnly="0" labelOnly="1" outline="0" axis="axisRow" fieldPosition="0"/>
    </format>
    <format dxfId="11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C24FE5-EC2F-44F9-82ED-BD9DCADD52A6}" name="PivotTable7"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te">
  <location ref="A3:C34" firstHeaderRow="0" firstDataRow="1" firstDataCol="1" rowPageCount="1" colPageCount="1"/>
  <pivotFields count="1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multipleItemSelectionAllowed="1" showAll="0">
      <items count="4">
        <item h="1" x="1"/>
        <item h="1" x="0"/>
        <item x="2"/>
        <item t="default"/>
      </items>
    </pivotField>
    <pivotField showAll="0"/>
    <pivotField showAll="0"/>
    <pivotField dataField="1" showAll="0"/>
    <pivotField showAll="0"/>
    <pivotField showAll="0"/>
    <pivotField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pageFields count="1">
    <pageField fld="1" hier="-1"/>
  </pageFields>
  <dataFields count="2">
    <dataField name="Ending Inventory MT" fld="8" baseField="0" baseItem="0"/>
    <dataField name="Safety Stock MT " fld="4" baseField="0" baseItem="0"/>
  </dataFields>
  <formats count="4">
    <format dxfId="123">
      <pivotArea field="0" type="button" dataOnly="0" labelOnly="1" outline="0" axis="axisRow" fieldPosition="0"/>
    </format>
    <format dxfId="122">
      <pivotArea dataOnly="0" labelOnly="1" outline="0" fieldPosition="0">
        <references count="1">
          <reference field="4294967294" count="2">
            <x v="0"/>
            <x v="1"/>
          </reference>
        </references>
      </pivotArea>
    </format>
    <format dxfId="121">
      <pivotArea field="0" type="button" dataOnly="0" labelOnly="1" outline="0" axis="axisRow" fieldPosition="0"/>
    </format>
    <format dxfId="12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port" xr10:uid="{2607D5C5-9D33-4B2F-AD72-6DD17BCEEE50}" sourceName="Airport">
  <pivotTables>
    <pivotTable tabId="5" name="PivotTable7"/>
  </pivotTables>
  <data>
    <tabular pivotCacheId="1325399628">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dging_Signal" xr10:uid="{FF6F83F6-6128-40F8-91DA-4841600088B5}" sourceName="Hedging_Signal">
  <pivotTables>
    <pivotTable tabId="5" name="PivotTable9"/>
  </pivotTables>
  <data>
    <tabular pivotCacheId="164045446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port" xr10:uid="{9CDE48B5-82DA-4371-B6BA-1D6718668220}" cache="Slicer_Airport" caption="Airport" rowHeight="247650"/>
  <slicer name="Hedging_Signal" xr10:uid="{6509B791-80F8-4AC6-8B69-FE656D84E5F8}" cache="Slicer_Hedging_Signal" caption="Hedging_Signal"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A9C6-A431-4966-AA13-10F6AD6174F9}">
  <dimension ref="A1:J4"/>
  <sheetViews>
    <sheetView workbookViewId="0">
      <selection activeCell="J5" sqref="J5"/>
    </sheetView>
  </sheetViews>
  <sheetFormatPr defaultRowHeight="14.4" x14ac:dyDescent="0.3"/>
  <cols>
    <col min="1" max="1" width="16.109375" customWidth="1"/>
    <col min="2" max="2" width="15.33203125" customWidth="1"/>
    <col min="3" max="3" width="25.109375" customWidth="1"/>
    <col min="4" max="4" width="17.5546875" customWidth="1"/>
    <col min="5" max="5" width="26.77734375" customWidth="1"/>
    <col min="6" max="6" width="21.5546875" customWidth="1"/>
    <col min="7" max="7" width="16.44140625" customWidth="1"/>
    <col min="8" max="8" width="18.109375" customWidth="1"/>
    <col min="9" max="9" width="20.21875" customWidth="1"/>
    <col min="10" max="10" width="15" customWidth="1"/>
  </cols>
  <sheetData>
    <row r="1" spans="1:10" ht="55.8" thickBot="1" x14ac:dyDescent="0.35">
      <c r="A1" s="1" t="s">
        <v>0</v>
      </c>
      <c r="B1" s="1" t="s">
        <v>1</v>
      </c>
      <c r="C1" s="1" t="s">
        <v>2</v>
      </c>
      <c r="D1" s="1" t="s">
        <v>3</v>
      </c>
      <c r="E1" s="1" t="s">
        <v>4</v>
      </c>
      <c r="F1" s="1" t="s">
        <v>5</v>
      </c>
      <c r="G1" s="1" t="s">
        <v>6</v>
      </c>
      <c r="H1" s="1" t="s">
        <v>7</v>
      </c>
      <c r="I1" s="1" t="s">
        <v>8</v>
      </c>
      <c r="J1" s="1" t="s">
        <v>9</v>
      </c>
    </row>
    <row r="2" spans="1:10" ht="28.2" thickBot="1" x14ac:dyDescent="0.35">
      <c r="A2" s="2" t="s">
        <v>10</v>
      </c>
      <c r="B2" s="2" t="s">
        <v>11</v>
      </c>
      <c r="C2" s="2" t="s">
        <v>12</v>
      </c>
      <c r="D2" s="2" t="s">
        <v>13</v>
      </c>
      <c r="E2" s="2">
        <v>24</v>
      </c>
      <c r="F2" s="2">
        <v>4</v>
      </c>
      <c r="G2" s="2">
        <v>140000</v>
      </c>
      <c r="H2" s="2">
        <v>1</v>
      </c>
      <c r="I2" s="2" t="s">
        <v>14</v>
      </c>
      <c r="J2" s="2" t="s">
        <v>15</v>
      </c>
    </row>
    <row r="3" spans="1:10" ht="15" thickBot="1" x14ac:dyDescent="0.35">
      <c r="A3" s="2" t="s">
        <v>16</v>
      </c>
      <c r="B3" s="2" t="s">
        <v>17</v>
      </c>
      <c r="C3" s="2" t="s">
        <v>18</v>
      </c>
      <c r="D3" s="2" t="s">
        <v>30</v>
      </c>
      <c r="E3" s="2">
        <v>16</v>
      </c>
      <c r="F3" s="2">
        <v>5</v>
      </c>
      <c r="G3" s="2">
        <v>45000</v>
      </c>
      <c r="H3" s="2">
        <v>5</v>
      </c>
      <c r="I3" s="2" t="s">
        <v>31</v>
      </c>
      <c r="J3" s="2" t="s">
        <v>15</v>
      </c>
    </row>
    <row r="4" spans="1:10" ht="28.2" thickBot="1" x14ac:dyDescent="0.35">
      <c r="A4" s="2" t="s">
        <v>19</v>
      </c>
      <c r="B4" s="2" t="s">
        <v>20</v>
      </c>
      <c r="C4" s="2" t="s">
        <v>21</v>
      </c>
      <c r="D4" s="2" t="s">
        <v>32</v>
      </c>
      <c r="E4" s="2">
        <v>12.5</v>
      </c>
      <c r="F4" s="2">
        <v>6</v>
      </c>
      <c r="G4" s="2">
        <v>28000</v>
      </c>
      <c r="H4" s="2">
        <v>3</v>
      </c>
      <c r="I4" s="2" t="s">
        <v>33</v>
      </c>
      <c r="J4" s="2">
        <v>1200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5727B-D523-4DC4-8231-C39E8071D477}">
  <dimension ref="A1:F31"/>
  <sheetViews>
    <sheetView topLeftCell="A5" workbookViewId="0">
      <selection activeCell="H12" sqref="H12"/>
    </sheetView>
  </sheetViews>
  <sheetFormatPr defaultRowHeight="14.4" x14ac:dyDescent="0.3"/>
  <cols>
    <col min="1" max="1" width="10.33203125" bestFit="1" customWidth="1"/>
    <col min="2" max="2" width="12.77734375" bestFit="1" customWidth="1"/>
    <col min="3" max="3" width="14.21875" bestFit="1" customWidth="1"/>
    <col min="4" max="4" width="15.5546875" bestFit="1" customWidth="1"/>
    <col min="5" max="5" width="14.109375" bestFit="1" customWidth="1"/>
    <col min="6" max="6" width="23.77734375" bestFit="1" customWidth="1"/>
  </cols>
  <sheetData>
    <row r="1" spans="1:6" x14ac:dyDescent="0.3">
      <c r="A1" t="s">
        <v>22</v>
      </c>
      <c r="B1" t="s">
        <v>23</v>
      </c>
      <c r="C1" t="s">
        <v>24</v>
      </c>
      <c r="D1" t="s">
        <v>25</v>
      </c>
      <c r="E1" t="s">
        <v>26</v>
      </c>
      <c r="F1" t="s">
        <v>44</v>
      </c>
    </row>
    <row r="2" spans="1:6" x14ac:dyDescent="0.3">
      <c r="A2" s="3">
        <v>45566</v>
      </c>
      <c r="B2">
        <v>74.599999999999994</v>
      </c>
      <c r="C2">
        <v>88.2</v>
      </c>
      <c r="D2">
        <v>13.6</v>
      </c>
      <c r="E2">
        <v>696.78</v>
      </c>
      <c r="F2" t="str">
        <f>IF(D2 &lt;= 13.5, "EXECUTE FORWARD HEDGE", "HOLD STRATEGY")</f>
        <v>HOLD STRATEGY</v>
      </c>
    </row>
    <row r="3" spans="1:6" x14ac:dyDescent="0.3">
      <c r="A3" s="3">
        <v>45567</v>
      </c>
      <c r="B3">
        <v>75.099999999999994</v>
      </c>
      <c r="C3">
        <v>89.3</v>
      </c>
      <c r="D3">
        <v>14.2</v>
      </c>
      <c r="E3">
        <v>705.47</v>
      </c>
      <c r="F3" t="str">
        <f t="shared" ref="F3:F31" si="0">IF(D3 &lt;= 13.5, "EXECUTE FORWARD HEDGE", "HOLD STRATEGY")</f>
        <v>HOLD STRATEGY</v>
      </c>
    </row>
    <row r="4" spans="1:6" x14ac:dyDescent="0.3">
      <c r="A4" s="3">
        <v>45568</v>
      </c>
      <c r="B4">
        <v>77.599999999999994</v>
      </c>
      <c r="C4">
        <v>92.4</v>
      </c>
      <c r="D4">
        <v>14.8</v>
      </c>
      <c r="E4">
        <v>729.96</v>
      </c>
      <c r="F4" t="str">
        <f t="shared" si="0"/>
        <v>HOLD STRATEGY</v>
      </c>
    </row>
    <row r="5" spans="1:6" x14ac:dyDescent="0.3">
      <c r="A5" s="3">
        <v>45569</v>
      </c>
      <c r="B5">
        <v>78.05</v>
      </c>
      <c r="C5">
        <v>93.5</v>
      </c>
      <c r="D5">
        <v>15.45</v>
      </c>
      <c r="E5">
        <v>738.65</v>
      </c>
      <c r="F5" t="str">
        <f t="shared" si="0"/>
        <v>HOLD STRATEGY</v>
      </c>
    </row>
    <row r="6" spans="1:6" x14ac:dyDescent="0.3">
      <c r="A6" s="3">
        <v>45570</v>
      </c>
      <c r="B6">
        <v>78.05</v>
      </c>
      <c r="C6">
        <v>93.5</v>
      </c>
      <c r="D6">
        <v>15.45</v>
      </c>
      <c r="E6">
        <v>738.65</v>
      </c>
      <c r="F6" t="str">
        <f t="shared" si="0"/>
        <v>HOLD STRATEGY</v>
      </c>
    </row>
    <row r="7" spans="1:6" x14ac:dyDescent="0.3">
      <c r="A7" s="3">
        <v>45571</v>
      </c>
      <c r="B7">
        <v>78.05</v>
      </c>
      <c r="C7">
        <v>93.5</v>
      </c>
      <c r="D7">
        <v>15.45</v>
      </c>
      <c r="E7">
        <v>738.65</v>
      </c>
      <c r="F7" t="str">
        <f t="shared" si="0"/>
        <v>HOLD STRATEGY</v>
      </c>
    </row>
    <row r="8" spans="1:6" x14ac:dyDescent="0.3">
      <c r="A8" s="3">
        <v>45572</v>
      </c>
      <c r="B8">
        <v>80.900000000000006</v>
      </c>
      <c r="C8">
        <v>97.1</v>
      </c>
      <c r="D8">
        <v>16.2</v>
      </c>
      <c r="E8">
        <v>767.09</v>
      </c>
      <c r="F8" t="str">
        <f t="shared" si="0"/>
        <v>HOLD STRATEGY</v>
      </c>
    </row>
    <row r="9" spans="1:6" x14ac:dyDescent="0.3">
      <c r="A9" s="3">
        <v>45573</v>
      </c>
      <c r="B9">
        <v>77.2</v>
      </c>
      <c r="C9">
        <v>93</v>
      </c>
      <c r="D9">
        <v>15.8</v>
      </c>
      <c r="E9">
        <v>734.7</v>
      </c>
      <c r="F9" t="str">
        <f t="shared" si="0"/>
        <v>HOLD STRATEGY</v>
      </c>
    </row>
    <row r="10" spans="1:6" x14ac:dyDescent="0.3">
      <c r="A10" s="3">
        <v>45574</v>
      </c>
      <c r="B10">
        <v>76.599999999999994</v>
      </c>
      <c r="C10">
        <v>91.8</v>
      </c>
      <c r="D10">
        <v>15.2</v>
      </c>
      <c r="E10">
        <v>725.22</v>
      </c>
      <c r="F10" t="str">
        <f t="shared" si="0"/>
        <v>HOLD STRATEGY</v>
      </c>
    </row>
    <row r="11" spans="1:6" x14ac:dyDescent="0.3">
      <c r="A11" s="3">
        <v>45575</v>
      </c>
      <c r="B11">
        <v>79.400000000000006</v>
      </c>
      <c r="C11">
        <v>95.2</v>
      </c>
      <c r="D11">
        <v>15.8</v>
      </c>
      <c r="E11">
        <v>752.08</v>
      </c>
      <c r="F11" t="str">
        <f t="shared" si="0"/>
        <v>HOLD STRATEGY</v>
      </c>
    </row>
    <row r="12" spans="1:6" x14ac:dyDescent="0.3">
      <c r="A12" s="3">
        <v>45576</v>
      </c>
      <c r="B12">
        <v>79.040000000000006</v>
      </c>
      <c r="C12">
        <v>94.6</v>
      </c>
      <c r="D12">
        <v>15.56</v>
      </c>
      <c r="E12">
        <v>747.34</v>
      </c>
      <c r="F12" t="str">
        <f t="shared" si="0"/>
        <v>HOLD STRATEGY</v>
      </c>
    </row>
    <row r="13" spans="1:6" x14ac:dyDescent="0.3">
      <c r="A13" s="3">
        <v>45577</v>
      </c>
      <c r="B13">
        <v>79.040000000000006</v>
      </c>
      <c r="C13">
        <v>94.6</v>
      </c>
      <c r="D13">
        <v>15.56</v>
      </c>
      <c r="E13">
        <v>747.34</v>
      </c>
      <c r="F13" t="str">
        <f t="shared" si="0"/>
        <v>HOLD STRATEGY</v>
      </c>
    </row>
    <row r="14" spans="1:6" x14ac:dyDescent="0.3">
      <c r="A14" s="3">
        <v>45578</v>
      </c>
      <c r="B14">
        <v>79.040000000000006</v>
      </c>
      <c r="C14">
        <v>94.6</v>
      </c>
      <c r="D14">
        <v>15.56</v>
      </c>
      <c r="E14">
        <v>747.34</v>
      </c>
      <c r="F14" t="str">
        <f t="shared" si="0"/>
        <v>HOLD STRATEGY</v>
      </c>
    </row>
    <row r="15" spans="1:6" x14ac:dyDescent="0.3">
      <c r="A15" s="3">
        <v>45579</v>
      </c>
      <c r="B15">
        <v>77.400000000000006</v>
      </c>
      <c r="C15">
        <v>92.1</v>
      </c>
      <c r="D15">
        <v>14.7</v>
      </c>
      <c r="E15">
        <v>727.59</v>
      </c>
      <c r="F15" t="str">
        <f t="shared" si="0"/>
        <v>HOLD STRATEGY</v>
      </c>
    </row>
    <row r="16" spans="1:6" x14ac:dyDescent="0.3">
      <c r="A16" s="3">
        <v>45580</v>
      </c>
      <c r="B16">
        <v>74.25</v>
      </c>
      <c r="C16">
        <v>87.9</v>
      </c>
      <c r="D16">
        <v>13.65</v>
      </c>
      <c r="E16">
        <v>694.41</v>
      </c>
      <c r="F16" t="str">
        <f t="shared" si="0"/>
        <v>HOLD STRATEGY</v>
      </c>
    </row>
    <row r="17" spans="1:6" x14ac:dyDescent="0.3">
      <c r="A17" s="3">
        <v>45581</v>
      </c>
      <c r="B17">
        <v>74.22</v>
      </c>
      <c r="C17">
        <v>87.5</v>
      </c>
      <c r="D17">
        <v>13.28</v>
      </c>
      <c r="E17">
        <v>691.25</v>
      </c>
      <c r="F17" t="str">
        <f t="shared" si="0"/>
        <v>EXECUTE FORWARD HEDGE</v>
      </c>
    </row>
    <row r="18" spans="1:6" x14ac:dyDescent="0.3">
      <c r="A18" s="3">
        <v>45582</v>
      </c>
      <c r="B18">
        <v>74.45</v>
      </c>
      <c r="C18">
        <v>88.1</v>
      </c>
      <c r="D18">
        <v>13.65</v>
      </c>
      <c r="E18">
        <v>695.99</v>
      </c>
      <c r="F18" t="str">
        <f t="shared" si="0"/>
        <v>HOLD STRATEGY</v>
      </c>
    </row>
    <row r="19" spans="1:6" x14ac:dyDescent="0.3">
      <c r="A19" s="3">
        <v>45583</v>
      </c>
      <c r="B19">
        <v>73.06</v>
      </c>
      <c r="C19">
        <v>86.2</v>
      </c>
      <c r="D19">
        <v>13.14</v>
      </c>
      <c r="E19">
        <v>680.98</v>
      </c>
      <c r="F19" t="str">
        <f t="shared" si="0"/>
        <v>EXECUTE FORWARD HEDGE</v>
      </c>
    </row>
    <row r="20" spans="1:6" x14ac:dyDescent="0.3">
      <c r="A20" s="3">
        <v>45584</v>
      </c>
      <c r="B20">
        <v>73.06</v>
      </c>
      <c r="C20">
        <v>86.2</v>
      </c>
      <c r="D20">
        <v>13.14</v>
      </c>
      <c r="E20">
        <v>680.98</v>
      </c>
      <c r="F20" t="str">
        <f t="shared" si="0"/>
        <v>EXECUTE FORWARD HEDGE</v>
      </c>
    </row>
    <row r="21" spans="1:6" x14ac:dyDescent="0.3">
      <c r="A21" s="3">
        <v>45585</v>
      </c>
      <c r="B21">
        <v>73.06</v>
      </c>
      <c r="C21">
        <v>86.2</v>
      </c>
      <c r="D21">
        <v>13.14</v>
      </c>
      <c r="E21">
        <v>680.98</v>
      </c>
      <c r="F21" t="str">
        <f t="shared" si="0"/>
        <v>EXECUTE FORWARD HEDGE</v>
      </c>
    </row>
    <row r="22" spans="1:6" x14ac:dyDescent="0.3">
      <c r="A22" s="3">
        <v>45586</v>
      </c>
      <c r="B22">
        <v>74.290000000000006</v>
      </c>
      <c r="C22">
        <v>87.8</v>
      </c>
      <c r="D22">
        <v>13.51</v>
      </c>
      <c r="E22">
        <v>693.62</v>
      </c>
      <c r="F22" t="str">
        <f t="shared" si="0"/>
        <v>HOLD STRATEGY</v>
      </c>
    </row>
    <row r="23" spans="1:6" x14ac:dyDescent="0.3">
      <c r="A23" s="3">
        <v>45587</v>
      </c>
      <c r="B23">
        <v>76.040000000000006</v>
      </c>
      <c r="C23">
        <v>90.1</v>
      </c>
      <c r="D23">
        <v>14.06</v>
      </c>
      <c r="E23">
        <v>711.79</v>
      </c>
      <c r="F23" t="str">
        <f t="shared" si="0"/>
        <v>HOLD STRATEGY</v>
      </c>
    </row>
    <row r="24" spans="1:6" x14ac:dyDescent="0.3">
      <c r="A24" s="3">
        <v>45588</v>
      </c>
      <c r="B24">
        <v>74.959999999999994</v>
      </c>
      <c r="C24">
        <v>88.7</v>
      </c>
      <c r="D24">
        <v>13.74</v>
      </c>
      <c r="E24">
        <v>700.73</v>
      </c>
      <c r="F24" t="str">
        <f t="shared" si="0"/>
        <v>HOLD STRATEGY</v>
      </c>
    </row>
    <row r="25" spans="1:6" x14ac:dyDescent="0.3">
      <c r="A25" s="3">
        <v>45589</v>
      </c>
      <c r="B25">
        <v>74.38</v>
      </c>
      <c r="C25">
        <v>87.9</v>
      </c>
      <c r="D25">
        <v>13.52</v>
      </c>
      <c r="E25">
        <v>694.41</v>
      </c>
      <c r="F25" t="str">
        <f t="shared" si="0"/>
        <v>HOLD STRATEGY</v>
      </c>
    </row>
    <row r="26" spans="1:6" x14ac:dyDescent="0.3">
      <c r="A26" s="3">
        <v>45590</v>
      </c>
      <c r="B26">
        <v>76.05</v>
      </c>
      <c r="C26">
        <v>89.8</v>
      </c>
      <c r="D26">
        <v>13.75</v>
      </c>
      <c r="E26">
        <v>709.42</v>
      </c>
      <c r="F26" t="str">
        <f t="shared" si="0"/>
        <v>HOLD STRATEGY</v>
      </c>
    </row>
    <row r="27" spans="1:6" x14ac:dyDescent="0.3">
      <c r="A27" s="3">
        <v>45591</v>
      </c>
      <c r="B27">
        <v>76.05</v>
      </c>
      <c r="C27">
        <v>89.8</v>
      </c>
      <c r="D27">
        <v>13.75</v>
      </c>
      <c r="E27">
        <v>709.42</v>
      </c>
      <c r="F27" t="str">
        <f t="shared" si="0"/>
        <v>HOLD STRATEGY</v>
      </c>
    </row>
    <row r="28" spans="1:6" x14ac:dyDescent="0.3">
      <c r="A28" s="3">
        <v>45592</v>
      </c>
      <c r="B28">
        <v>76.05</v>
      </c>
      <c r="C28">
        <v>89.8</v>
      </c>
      <c r="D28">
        <v>13.75</v>
      </c>
      <c r="E28">
        <v>709.42</v>
      </c>
      <c r="F28" t="str">
        <f t="shared" si="0"/>
        <v>HOLD STRATEGY</v>
      </c>
    </row>
    <row r="29" spans="1:6" x14ac:dyDescent="0.3">
      <c r="A29" s="3">
        <v>45593</v>
      </c>
      <c r="B29">
        <v>71.42</v>
      </c>
      <c r="C29">
        <v>83.5</v>
      </c>
      <c r="D29">
        <v>12.08</v>
      </c>
      <c r="E29">
        <v>659.65</v>
      </c>
      <c r="F29" t="str">
        <f t="shared" si="0"/>
        <v>EXECUTE FORWARD HEDGE</v>
      </c>
    </row>
    <row r="30" spans="1:6" x14ac:dyDescent="0.3">
      <c r="A30" s="3">
        <v>45594</v>
      </c>
      <c r="B30">
        <v>71.12</v>
      </c>
      <c r="C30">
        <v>82.9</v>
      </c>
      <c r="D30">
        <v>11.78</v>
      </c>
      <c r="E30">
        <v>654.91</v>
      </c>
      <c r="F30" t="str">
        <f t="shared" si="0"/>
        <v>EXECUTE FORWARD HEDGE</v>
      </c>
    </row>
    <row r="31" spans="1:6" x14ac:dyDescent="0.3">
      <c r="A31" s="3">
        <v>45595</v>
      </c>
      <c r="B31">
        <v>72.16</v>
      </c>
      <c r="C31">
        <v>84.4</v>
      </c>
      <c r="D31">
        <v>12.24</v>
      </c>
      <c r="E31">
        <v>666.76</v>
      </c>
      <c r="F31" t="str">
        <f t="shared" si="0"/>
        <v>EXECUTE FORWARD HEDGE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9A55B-1AED-40E7-9F9A-D6CF571221FF}">
  <dimension ref="A1:C91"/>
  <sheetViews>
    <sheetView workbookViewId="0">
      <selection activeCell="I20" sqref="I20"/>
    </sheetView>
  </sheetViews>
  <sheetFormatPr defaultRowHeight="14.4" x14ac:dyDescent="0.3"/>
  <cols>
    <col min="1" max="1" width="10.33203125" bestFit="1" customWidth="1"/>
    <col min="2" max="2" width="11.44140625" bestFit="1" customWidth="1"/>
    <col min="3" max="3" width="14.88671875" bestFit="1" customWidth="1"/>
  </cols>
  <sheetData>
    <row r="1" spans="1:3" x14ac:dyDescent="0.3">
      <c r="A1" t="s">
        <v>22</v>
      </c>
      <c r="B1" t="s">
        <v>0</v>
      </c>
      <c r="C1" t="s">
        <v>27</v>
      </c>
    </row>
    <row r="2" spans="1:3" x14ac:dyDescent="0.3">
      <c r="A2" s="3">
        <v>45566</v>
      </c>
      <c r="B2" t="s">
        <v>10</v>
      </c>
      <c r="C2">
        <v>615</v>
      </c>
    </row>
    <row r="3" spans="1:3" x14ac:dyDescent="0.3">
      <c r="A3" s="3">
        <v>45566</v>
      </c>
      <c r="B3" t="s">
        <v>16</v>
      </c>
      <c r="C3">
        <v>285</v>
      </c>
    </row>
    <row r="4" spans="1:3" x14ac:dyDescent="0.3">
      <c r="A4" s="3">
        <v>45566</v>
      </c>
      <c r="B4" t="s">
        <v>19</v>
      </c>
      <c r="C4">
        <v>198</v>
      </c>
    </row>
    <row r="5" spans="1:3" x14ac:dyDescent="0.3">
      <c r="A5" s="3">
        <v>45567</v>
      </c>
      <c r="B5" t="s">
        <v>10</v>
      </c>
      <c r="C5">
        <v>620</v>
      </c>
    </row>
    <row r="6" spans="1:3" x14ac:dyDescent="0.3">
      <c r="A6" s="3">
        <v>45567</v>
      </c>
      <c r="B6" t="s">
        <v>16</v>
      </c>
      <c r="C6">
        <v>290</v>
      </c>
    </row>
    <row r="7" spans="1:3" x14ac:dyDescent="0.3">
      <c r="A7" s="3">
        <v>45567</v>
      </c>
      <c r="B7" t="s">
        <v>19</v>
      </c>
      <c r="C7">
        <v>202</v>
      </c>
    </row>
    <row r="8" spans="1:3" x14ac:dyDescent="0.3">
      <c r="A8" s="3">
        <v>45568</v>
      </c>
      <c r="B8" t="s">
        <v>10</v>
      </c>
      <c r="C8">
        <v>632</v>
      </c>
    </row>
    <row r="9" spans="1:3" x14ac:dyDescent="0.3">
      <c r="A9" s="3">
        <v>45568</v>
      </c>
      <c r="B9" t="s">
        <v>16</v>
      </c>
      <c r="C9">
        <v>298</v>
      </c>
    </row>
    <row r="10" spans="1:3" x14ac:dyDescent="0.3">
      <c r="A10" s="3">
        <v>45568</v>
      </c>
      <c r="B10" t="s">
        <v>19</v>
      </c>
      <c r="C10">
        <v>210</v>
      </c>
    </row>
    <row r="11" spans="1:3" x14ac:dyDescent="0.3">
      <c r="A11" s="3">
        <v>45569</v>
      </c>
      <c r="B11" t="s">
        <v>10</v>
      </c>
      <c r="C11">
        <v>648</v>
      </c>
    </row>
    <row r="12" spans="1:3" x14ac:dyDescent="0.3">
      <c r="A12" s="3">
        <v>45569</v>
      </c>
      <c r="B12" t="s">
        <v>16</v>
      </c>
      <c r="C12">
        <v>312</v>
      </c>
    </row>
    <row r="13" spans="1:3" x14ac:dyDescent="0.3">
      <c r="A13" s="3">
        <v>45569</v>
      </c>
      <c r="B13" t="s">
        <v>19</v>
      </c>
      <c r="C13">
        <v>224</v>
      </c>
    </row>
    <row r="14" spans="1:3" x14ac:dyDescent="0.3">
      <c r="A14" s="3">
        <v>45570</v>
      </c>
      <c r="B14" t="s">
        <v>10</v>
      </c>
      <c r="C14">
        <v>575</v>
      </c>
    </row>
    <row r="15" spans="1:3" x14ac:dyDescent="0.3">
      <c r="A15" s="3">
        <v>45570</v>
      </c>
      <c r="B15" t="s">
        <v>16</v>
      </c>
      <c r="C15">
        <v>265</v>
      </c>
    </row>
    <row r="16" spans="1:3" x14ac:dyDescent="0.3">
      <c r="A16" s="3">
        <v>45570</v>
      </c>
      <c r="B16" t="s">
        <v>19</v>
      </c>
      <c r="C16">
        <v>185</v>
      </c>
    </row>
    <row r="17" spans="1:3" x14ac:dyDescent="0.3">
      <c r="A17" s="3">
        <v>45571</v>
      </c>
      <c r="B17" t="s">
        <v>10</v>
      </c>
      <c r="C17">
        <v>630</v>
      </c>
    </row>
    <row r="18" spans="1:3" x14ac:dyDescent="0.3">
      <c r="A18" s="3">
        <v>45571</v>
      </c>
      <c r="B18" t="s">
        <v>16</v>
      </c>
      <c r="C18">
        <v>305</v>
      </c>
    </row>
    <row r="19" spans="1:3" x14ac:dyDescent="0.3">
      <c r="A19" s="3">
        <v>45571</v>
      </c>
      <c r="B19" t="s">
        <v>19</v>
      </c>
      <c r="C19">
        <v>215</v>
      </c>
    </row>
    <row r="20" spans="1:3" x14ac:dyDescent="0.3">
      <c r="A20" s="3">
        <v>45572</v>
      </c>
      <c r="B20" t="s">
        <v>10</v>
      </c>
      <c r="C20">
        <v>610</v>
      </c>
    </row>
    <row r="21" spans="1:3" x14ac:dyDescent="0.3">
      <c r="A21" s="3">
        <v>45572</v>
      </c>
      <c r="B21" t="s">
        <v>16</v>
      </c>
      <c r="C21">
        <v>282</v>
      </c>
    </row>
    <row r="22" spans="1:3" x14ac:dyDescent="0.3">
      <c r="A22" s="3">
        <v>45572</v>
      </c>
      <c r="B22" t="s">
        <v>19</v>
      </c>
      <c r="C22">
        <v>195</v>
      </c>
    </row>
    <row r="23" spans="1:3" x14ac:dyDescent="0.3">
      <c r="A23" s="3">
        <v>45573</v>
      </c>
      <c r="B23" t="s">
        <v>10</v>
      </c>
      <c r="C23">
        <v>618</v>
      </c>
    </row>
    <row r="24" spans="1:3" x14ac:dyDescent="0.3">
      <c r="A24" s="3">
        <v>45573</v>
      </c>
      <c r="B24" t="s">
        <v>16</v>
      </c>
      <c r="C24">
        <v>288</v>
      </c>
    </row>
    <row r="25" spans="1:3" x14ac:dyDescent="0.3">
      <c r="A25" s="3">
        <v>45573</v>
      </c>
      <c r="B25" t="s">
        <v>19</v>
      </c>
      <c r="C25">
        <v>199</v>
      </c>
    </row>
    <row r="26" spans="1:3" x14ac:dyDescent="0.3">
      <c r="A26" s="3">
        <v>45574</v>
      </c>
      <c r="B26" t="s">
        <v>10</v>
      </c>
      <c r="C26">
        <v>622</v>
      </c>
    </row>
    <row r="27" spans="1:3" x14ac:dyDescent="0.3">
      <c r="A27" s="3">
        <v>45574</v>
      </c>
      <c r="B27" t="s">
        <v>16</v>
      </c>
      <c r="C27">
        <v>292</v>
      </c>
    </row>
    <row r="28" spans="1:3" x14ac:dyDescent="0.3">
      <c r="A28" s="3">
        <v>45574</v>
      </c>
      <c r="B28" t="s">
        <v>19</v>
      </c>
      <c r="C28">
        <v>203</v>
      </c>
    </row>
    <row r="29" spans="1:3" x14ac:dyDescent="0.3">
      <c r="A29" s="3">
        <v>45575</v>
      </c>
      <c r="B29" t="s">
        <v>10</v>
      </c>
      <c r="C29">
        <v>635</v>
      </c>
    </row>
    <row r="30" spans="1:3" x14ac:dyDescent="0.3">
      <c r="A30" s="3">
        <v>45575</v>
      </c>
      <c r="B30" t="s">
        <v>16</v>
      </c>
      <c r="C30">
        <v>300</v>
      </c>
    </row>
    <row r="31" spans="1:3" x14ac:dyDescent="0.3">
      <c r="A31" s="3">
        <v>45575</v>
      </c>
      <c r="B31" t="s">
        <v>19</v>
      </c>
      <c r="C31">
        <v>212</v>
      </c>
    </row>
    <row r="32" spans="1:3" x14ac:dyDescent="0.3">
      <c r="A32" s="3">
        <v>45576</v>
      </c>
      <c r="B32" t="s">
        <v>10</v>
      </c>
      <c r="C32">
        <v>652</v>
      </c>
    </row>
    <row r="33" spans="1:3" x14ac:dyDescent="0.3">
      <c r="A33" s="3">
        <v>45576</v>
      </c>
      <c r="B33" t="s">
        <v>16</v>
      </c>
      <c r="C33">
        <v>315</v>
      </c>
    </row>
    <row r="34" spans="1:3" x14ac:dyDescent="0.3">
      <c r="A34" s="3">
        <v>45576</v>
      </c>
      <c r="B34" t="s">
        <v>19</v>
      </c>
      <c r="C34">
        <v>226</v>
      </c>
    </row>
    <row r="35" spans="1:3" x14ac:dyDescent="0.3">
      <c r="A35" s="3">
        <v>45577</v>
      </c>
      <c r="B35" t="s">
        <v>10</v>
      </c>
      <c r="C35">
        <v>580</v>
      </c>
    </row>
    <row r="36" spans="1:3" x14ac:dyDescent="0.3">
      <c r="A36" s="3">
        <v>45577</v>
      </c>
      <c r="B36" t="s">
        <v>16</v>
      </c>
      <c r="C36">
        <v>268</v>
      </c>
    </row>
    <row r="37" spans="1:3" x14ac:dyDescent="0.3">
      <c r="A37" s="3">
        <v>45577</v>
      </c>
      <c r="B37" t="s">
        <v>19</v>
      </c>
      <c r="C37">
        <v>188</v>
      </c>
    </row>
    <row r="38" spans="1:3" x14ac:dyDescent="0.3">
      <c r="A38" s="3">
        <v>45578</v>
      </c>
      <c r="B38" t="s">
        <v>10</v>
      </c>
      <c r="C38">
        <v>634</v>
      </c>
    </row>
    <row r="39" spans="1:3" x14ac:dyDescent="0.3">
      <c r="A39" s="3">
        <v>45578</v>
      </c>
      <c r="B39" t="s">
        <v>16</v>
      </c>
      <c r="C39">
        <v>308</v>
      </c>
    </row>
    <row r="40" spans="1:3" x14ac:dyDescent="0.3">
      <c r="A40" s="3">
        <v>45578</v>
      </c>
      <c r="B40" t="s">
        <v>19</v>
      </c>
      <c r="C40">
        <v>218</v>
      </c>
    </row>
    <row r="41" spans="1:3" x14ac:dyDescent="0.3">
      <c r="A41" s="3">
        <v>45579</v>
      </c>
      <c r="B41" t="s">
        <v>10</v>
      </c>
      <c r="C41">
        <v>612</v>
      </c>
    </row>
    <row r="42" spans="1:3" x14ac:dyDescent="0.3">
      <c r="A42" s="3">
        <v>45579</v>
      </c>
      <c r="B42" t="s">
        <v>16</v>
      </c>
      <c r="C42">
        <v>284</v>
      </c>
    </row>
    <row r="43" spans="1:3" x14ac:dyDescent="0.3">
      <c r="A43" s="3">
        <v>45579</v>
      </c>
      <c r="B43" t="s">
        <v>19</v>
      </c>
      <c r="C43">
        <v>196</v>
      </c>
    </row>
    <row r="44" spans="1:3" x14ac:dyDescent="0.3">
      <c r="A44" s="3">
        <v>45580</v>
      </c>
      <c r="B44" t="s">
        <v>10</v>
      </c>
      <c r="C44">
        <v>616</v>
      </c>
    </row>
    <row r="45" spans="1:3" x14ac:dyDescent="0.3">
      <c r="A45" s="3">
        <v>45580</v>
      </c>
      <c r="B45" t="s">
        <v>16</v>
      </c>
      <c r="C45">
        <v>286</v>
      </c>
    </row>
    <row r="46" spans="1:3" x14ac:dyDescent="0.3">
      <c r="A46" s="3">
        <v>45580</v>
      </c>
      <c r="B46" t="s">
        <v>19</v>
      </c>
      <c r="C46">
        <v>200</v>
      </c>
    </row>
    <row r="47" spans="1:3" x14ac:dyDescent="0.3">
      <c r="A47" s="3">
        <v>45581</v>
      </c>
      <c r="B47" t="s">
        <v>10</v>
      </c>
      <c r="C47">
        <v>624</v>
      </c>
    </row>
    <row r="48" spans="1:3" x14ac:dyDescent="0.3">
      <c r="A48" s="3">
        <v>45581</v>
      </c>
      <c r="B48" t="s">
        <v>16</v>
      </c>
      <c r="C48">
        <v>294</v>
      </c>
    </row>
    <row r="49" spans="1:3" x14ac:dyDescent="0.3">
      <c r="A49" s="3">
        <v>45581</v>
      </c>
      <c r="B49" t="s">
        <v>19</v>
      </c>
      <c r="C49">
        <v>204</v>
      </c>
    </row>
    <row r="50" spans="1:3" x14ac:dyDescent="0.3">
      <c r="A50" s="3">
        <v>45582</v>
      </c>
      <c r="B50" t="s">
        <v>10</v>
      </c>
      <c r="C50">
        <v>638</v>
      </c>
    </row>
    <row r="51" spans="1:3" x14ac:dyDescent="0.3">
      <c r="A51" s="3">
        <v>45582</v>
      </c>
      <c r="B51" t="s">
        <v>16</v>
      </c>
      <c r="C51">
        <v>302</v>
      </c>
    </row>
    <row r="52" spans="1:3" x14ac:dyDescent="0.3">
      <c r="A52" s="3">
        <v>45582</v>
      </c>
      <c r="B52" t="s">
        <v>19</v>
      </c>
      <c r="C52">
        <v>214</v>
      </c>
    </row>
    <row r="53" spans="1:3" x14ac:dyDescent="0.3">
      <c r="A53" s="3">
        <v>45583</v>
      </c>
      <c r="B53" t="s">
        <v>10</v>
      </c>
      <c r="C53">
        <v>655</v>
      </c>
    </row>
    <row r="54" spans="1:3" x14ac:dyDescent="0.3">
      <c r="A54" s="3">
        <v>45583</v>
      </c>
      <c r="B54" t="s">
        <v>16</v>
      </c>
      <c r="C54">
        <v>318</v>
      </c>
    </row>
    <row r="55" spans="1:3" x14ac:dyDescent="0.3">
      <c r="A55" s="3">
        <v>45583</v>
      </c>
      <c r="B55" t="s">
        <v>19</v>
      </c>
      <c r="C55">
        <v>228</v>
      </c>
    </row>
    <row r="56" spans="1:3" x14ac:dyDescent="0.3">
      <c r="A56" s="3">
        <v>45584</v>
      </c>
      <c r="B56" t="s">
        <v>10</v>
      </c>
      <c r="C56">
        <v>582</v>
      </c>
    </row>
    <row r="57" spans="1:3" x14ac:dyDescent="0.3">
      <c r="A57" s="3">
        <v>45584</v>
      </c>
      <c r="B57" t="s">
        <v>16</v>
      </c>
      <c r="C57">
        <v>270</v>
      </c>
    </row>
    <row r="58" spans="1:3" x14ac:dyDescent="0.3">
      <c r="A58" s="3">
        <v>45584</v>
      </c>
      <c r="B58" t="s">
        <v>19</v>
      </c>
      <c r="C58">
        <v>190</v>
      </c>
    </row>
    <row r="59" spans="1:3" x14ac:dyDescent="0.3">
      <c r="A59" s="3">
        <v>45585</v>
      </c>
      <c r="B59" t="s">
        <v>10</v>
      </c>
      <c r="C59">
        <v>636</v>
      </c>
    </row>
    <row r="60" spans="1:3" x14ac:dyDescent="0.3">
      <c r="A60" s="3">
        <v>45585</v>
      </c>
      <c r="B60" t="s">
        <v>16</v>
      </c>
      <c r="C60">
        <v>310</v>
      </c>
    </row>
    <row r="61" spans="1:3" x14ac:dyDescent="0.3">
      <c r="A61" s="3">
        <v>45585</v>
      </c>
      <c r="B61" t="s">
        <v>19</v>
      </c>
      <c r="C61">
        <v>220</v>
      </c>
    </row>
    <row r="62" spans="1:3" x14ac:dyDescent="0.3">
      <c r="A62" s="3">
        <v>45586</v>
      </c>
      <c r="B62" t="s">
        <v>10</v>
      </c>
      <c r="C62">
        <v>614</v>
      </c>
    </row>
    <row r="63" spans="1:3" x14ac:dyDescent="0.3">
      <c r="A63" s="3">
        <v>45586</v>
      </c>
      <c r="B63" t="s">
        <v>16</v>
      </c>
      <c r="C63">
        <v>285</v>
      </c>
    </row>
    <row r="64" spans="1:3" x14ac:dyDescent="0.3">
      <c r="A64" s="3">
        <v>45586</v>
      </c>
      <c r="B64" t="s">
        <v>19</v>
      </c>
      <c r="C64">
        <v>197</v>
      </c>
    </row>
    <row r="65" spans="1:3" x14ac:dyDescent="0.3">
      <c r="A65" s="3">
        <v>45587</v>
      </c>
      <c r="B65" t="s">
        <v>10</v>
      </c>
      <c r="C65">
        <v>619</v>
      </c>
    </row>
    <row r="66" spans="1:3" x14ac:dyDescent="0.3">
      <c r="A66" s="3">
        <v>45587</v>
      </c>
      <c r="B66" t="s">
        <v>16</v>
      </c>
      <c r="C66">
        <v>289</v>
      </c>
    </row>
    <row r="67" spans="1:3" x14ac:dyDescent="0.3">
      <c r="A67" s="3">
        <v>45587</v>
      </c>
      <c r="B67" t="s">
        <v>19</v>
      </c>
      <c r="C67">
        <v>201</v>
      </c>
    </row>
    <row r="68" spans="1:3" x14ac:dyDescent="0.3">
      <c r="A68" s="3">
        <v>45588</v>
      </c>
      <c r="B68" t="s">
        <v>10</v>
      </c>
      <c r="C68">
        <v>626</v>
      </c>
    </row>
    <row r="69" spans="1:3" x14ac:dyDescent="0.3">
      <c r="A69" s="3">
        <v>45588</v>
      </c>
      <c r="B69" t="s">
        <v>16</v>
      </c>
      <c r="C69">
        <v>295</v>
      </c>
    </row>
    <row r="70" spans="1:3" x14ac:dyDescent="0.3">
      <c r="A70" s="3">
        <v>45588</v>
      </c>
      <c r="B70" t="s">
        <v>19</v>
      </c>
      <c r="C70">
        <v>205</v>
      </c>
    </row>
    <row r="71" spans="1:3" x14ac:dyDescent="0.3">
      <c r="A71" s="3">
        <v>45589</v>
      </c>
      <c r="B71" t="s">
        <v>10</v>
      </c>
      <c r="C71">
        <v>640</v>
      </c>
    </row>
    <row r="72" spans="1:3" x14ac:dyDescent="0.3">
      <c r="A72" s="3">
        <v>45589</v>
      </c>
      <c r="B72" t="s">
        <v>16</v>
      </c>
      <c r="C72">
        <v>304</v>
      </c>
    </row>
    <row r="73" spans="1:3" x14ac:dyDescent="0.3">
      <c r="A73" s="3">
        <v>45589</v>
      </c>
      <c r="B73" t="s">
        <v>19</v>
      </c>
      <c r="C73">
        <v>216</v>
      </c>
    </row>
    <row r="74" spans="1:3" x14ac:dyDescent="0.3">
      <c r="A74" s="3">
        <v>45590</v>
      </c>
      <c r="B74" t="s">
        <v>10</v>
      </c>
      <c r="C74">
        <v>658</v>
      </c>
    </row>
    <row r="75" spans="1:3" x14ac:dyDescent="0.3">
      <c r="A75" s="3">
        <v>45590</v>
      </c>
      <c r="B75" t="s">
        <v>16</v>
      </c>
      <c r="C75">
        <v>320</v>
      </c>
    </row>
    <row r="76" spans="1:3" x14ac:dyDescent="0.3">
      <c r="A76" s="3">
        <v>45590</v>
      </c>
      <c r="B76" t="s">
        <v>19</v>
      </c>
      <c r="C76">
        <v>230</v>
      </c>
    </row>
    <row r="77" spans="1:3" x14ac:dyDescent="0.3">
      <c r="A77" s="3">
        <v>45591</v>
      </c>
      <c r="B77" t="s">
        <v>10</v>
      </c>
      <c r="C77">
        <v>585</v>
      </c>
    </row>
    <row r="78" spans="1:3" x14ac:dyDescent="0.3">
      <c r="A78" s="3">
        <v>45591</v>
      </c>
      <c r="B78" t="s">
        <v>16</v>
      </c>
      <c r="C78">
        <v>272</v>
      </c>
    </row>
    <row r="79" spans="1:3" x14ac:dyDescent="0.3">
      <c r="A79" s="3">
        <v>45591</v>
      </c>
      <c r="B79" t="s">
        <v>19</v>
      </c>
      <c r="C79">
        <v>192</v>
      </c>
    </row>
    <row r="80" spans="1:3" x14ac:dyDescent="0.3">
      <c r="A80" s="3">
        <v>45592</v>
      </c>
      <c r="B80" t="s">
        <v>10</v>
      </c>
      <c r="C80">
        <v>638</v>
      </c>
    </row>
    <row r="81" spans="1:3" x14ac:dyDescent="0.3">
      <c r="A81" s="3">
        <v>45592</v>
      </c>
      <c r="B81" t="s">
        <v>16</v>
      </c>
      <c r="C81">
        <v>312</v>
      </c>
    </row>
    <row r="82" spans="1:3" x14ac:dyDescent="0.3">
      <c r="A82" s="3">
        <v>45592</v>
      </c>
      <c r="B82" t="s">
        <v>19</v>
      </c>
      <c r="C82">
        <v>222</v>
      </c>
    </row>
    <row r="83" spans="1:3" x14ac:dyDescent="0.3">
      <c r="A83" s="3">
        <v>45593</v>
      </c>
      <c r="B83" t="s">
        <v>10</v>
      </c>
      <c r="C83">
        <v>616</v>
      </c>
    </row>
    <row r="84" spans="1:3" x14ac:dyDescent="0.3">
      <c r="A84" s="3">
        <v>45593</v>
      </c>
      <c r="B84" t="s">
        <v>16</v>
      </c>
      <c r="C84">
        <v>286</v>
      </c>
    </row>
    <row r="85" spans="1:3" x14ac:dyDescent="0.3">
      <c r="A85" s="3">
        <v>45593</v>
      </c>
      <c r="B85" t="s">
        <v>19</v>
      </c>
      <c r="C85">
        <v>198</v>
      </c>
    </row>
    <row r="86" spans="1:3" x14ac:dyDescent="0.3">
      <c r="A86" s="3">
        <v>45594</v>
      </c>
      <c r="B86" t="s">
        <v>10</v>
      </c>
      <c r="C86">
        <v>621</v>
      </c>
    </row>
    <row r="87" spans="1:3" x14ac:dyDescent="0.3">
      <c r="A87" s="3">
        <v>45594</v>
      </c>
      <c r="B87" t="s">
        <v>16</v>
      </c>
      <c r="C87">
        <v>290</v>
      </c>
    </row>
    <row r="88" spans="1:3" x14ac:dyDescent="0.3">
      <c r="A88" s="3">
        <v>45594</v>
      </c>
      <c r="B88" t="s">
        <v>19</v>
      </c>
      <c r="C88">
        <v>202</v>
      </c>
    </row>
    <row r="89" spans="1:3" x14ac:dyDescent="0.3">
      <c r="A89" s="3">
        <v>45595</v>
      </c>
      <c r="B89" t="s">
        <v>10</v>
      </c>
      <c r="C89">
        <v>628</v>
      </c>
    </row>
    <row r="90" spans="1:3" x14ac:dyDescent="0.3">
      <c r="A90" s="3">
        <v>45595</v>
      </c>
      <c r="B90" t="s">
        <v>16</v>
      </c>
      <c r="C90">
        <v>296</v>
      </c>
    </row>
    <row r="91" spans="1:3" x14ac:dyDescent="0.3">
      <c r="A91" s="3">
        <v>45595</v>
      </c>
      <c r="B91" t="s">
        <v>19</v>
      </c>
      <c r="C91">
        <v>206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798C-DE98-464E-87C6-D34B2C950301}">
  <dimension ref="A1:J91"/>
  <sheetViews>
    <sheetView workbookViewId="0">
      <selection activeCell="O17" sqref="O17"/>
    </sheetView>
  </sheetViews>
  <sheetFormatPr defaultRowHeight="14.4" x14ac:dyDescent="0.3"/>
  <cols>
    <col min="1" max="1" width="10.33203125" bestFit="1" customWidth="1"/>
    <col min="2" max="2" width="10.88671875" bestFit="1" customWidth="1"/>
    <col min="3" max="3" width="10.77734375" bestFit="1" customWidth="1"/>
    <col min="4" max="4" width="15.109375" customWidth="1"/>
    <col min="5" max="5" width="14.33203125" customWidth="1"/>
    <col min="6" max="6" width="15.5546875" customWidth="1"/>
    <col min="7" max="7" width="13.5546875" bestFit="1" customWidth="1"/>
    <col min="8" max="8" width="15.44140625" customWidth="1"/>
    <col min="9" max="9" width="14.88671875" customWidth="1"/>
    <col min="10" max="10" width="20.21875" bestFit="1" customWidth="1"/>
  </cols>
  <sheetData>
    <row r="1" spans="1:10" ht="28.2" thickBot="1" x14ac:dyDescent="0.35">
      <c r="A1" s="1" t="s">
        <v>22</v>
      </c>
      <c r="B1" s="1" t="s">
        <v>28</v>
      </c>
      <c r="C1" s="1" t="s">
        <v>29</v>
      </c>
      <c r="D1" s="1" t="s">
        <v>34</v>
      </c>
      <c r="E1" s="1" t="s">
        <v>35</v>
      </c>
      <c r="F1" s="1" t="s">
        <v>36</v>
      </c>
      <c r="G1" s="1" t="s">
        <v>37</v>
      </c>
      <c r="H1" s="1" t="s">
        <v>38</v>
      </c>
      <c r="I1" s="1" t="s">
        <v>39</v>
      </c>
      <c r="J1" s="1" t="s">
        <v>40</v>
      </c>
    </row>
    <row r="2" spans="1:10" x14ac:dyDescent="0.3">
      <c r="A2" s="3">
        <f>Raw_Flight_Data!A2</f>
        <v>45566</v>
      </c>
      <c r="B2" t="str">
        <f>Raw_Flight_Data!B2</f>
        <v>FRA</v>
      </c>
      <c r="C2">
        <f>Raw_Flight_Data!C2</f>
        <v>615</v>
      </c>
      <c r="D2">
        <f>C2 * VLOOKUP(B2, Logistics_Master!$A$2:$J$4, 5, FALSE)</f>
        <v>14760</v>
      </c>
      <c r="E2">
        <f>D2 * VLOOKUP(B2, Logistics_Master!$A$2:$J$4, 6, FALSE)</f>
        <v>59040</v>
      </c>
      <c r="F2">
        <f>IF(A2=MIN(Raw_Flight_Data!$A$2:$A$100), VLOOKUP(B2, Logistics_Master!$A$2:$J$4, 7, FALSE) * 0.8, SUMIFS($I$1:I1, $B$1:B1, B2, $A$1:A1, A2-1))</f>
        <v>112000</v>
      </c>
      <c r="G2">
        <f>F2 - D2</f>
        <v>97240</v>
      </c>
      <c r="H2">
        <f>IF(G2 &lt;= E2, VLOOKUP(B2, Logistics_Master!$A$2:$J$4, 7, FALSE) - G2, 0)</f>
        <v>0</v>
      </c>
      <c r="I2">
        <f>G2 + H2</f>
        <v>97240</v>
      </c>
      <c r="J2" t="str">
        <f>IF(H2=0, "", IF(VLOOKUP(B2, Logistics_Master!$A$2:$J$4, 4, FALSE)="Truck", ROUNDUP(H2/30, 0) &amp; " Trucks", IF(VLOOKUP(B2, Logistics_Master!$A$2:$J$4, 4, FALSE)="Sea Vessel", "Sea Vessel (MR Tanker)", IF(VLOOKUP(B2, Logistics_Master!$A$2:$J$4, 4, FALSE)="Rail", ROUNDUP(H2/1200, 0) &amp; " Block Trains", "Pipeline Batch"))))</f>
        <v/>
      </c>
    </row>
    <row r="3" spans="1:10" x14ac:dyDescent="0.3">
      <c r="A3" s="3">
        <f>Raw_Flight_Data!A3</f>
        <v>45566</v>
      </c>
      <c r="B3" t="str">
        <f>Raw_Flight_Data!B3</f>
        <v>DUB</v>
      </c>
      <c r="C3">
        <f>Raw_Flight_Data!C3</f>
        <v>285</v>
      </c>
      <c r="D3">
        <f>C3 * VLOOKUP(B3, Logistics_Master!$A$2:$J$4, 5, FALSE)</f>
        <v>4560</v>
      </c>
      <c r="E3">
        <f>D3 * VLOOKUP(B3, Logistics_Master!$A$2:$J$4, 6, FALSE)</f>
        <v>22800</v>
      </c>
      <c r="F3">
        <f>IF(A3=MIN(Raw_Flight_Data!$A$2:$A$100), VLOOKUP(B3, Logistics_Master!$A$2:$J$4, 7, FALSE) * 0.8, SUMIFS($I$1:I2, $B$1:B2, B3, $A$1:A2, A3-1))</f>
        <v>36000</v>
      </c>
      <c r="G3">
        <f t="shared" ref="G3:G66" si="0">F3 - D3</f>
        <v>31440</v>
      </c>
      <c r="H3">
        <f>IF(G3 &lt;= E3, VLOOKUP(B3, Logistics_Master!$A$2:$J$4, 7, FALSE) - G3, 0)</f>
        <v>0</v>
      </c>
      <c r="I3">
        <f t="shared" ref="I3:I66" si="1">G3 + H3</f>
        <v>31440</v>
      </c>
      <c r="J3" t="str">
        <f>IF(H3=0, "", IF(VLOOKUP(B3, Logistics_Master!$A$2:$J$4, 4, FALSE)="Truck", ROUNDUP(H3/30, 0) &amp; " Trucks", IF(VLOOKUP(B3, Logistics_Master!$A$2:$J$4, 4, FALSE)="Sea Vessel", "Sea Vessel (MR Tanker)", IF(VLOOKUP(B3, Logistics_Master!$A$2:$J$4, 4, FALSE)="Rail", ROUNDUP(H3/1200, 0) &amp; " Block Trains", "Pipeline Batch"))))</f>
        <v/>
      </c>
    </row>
    <row r="4" spans="1:10" x14ac:dyDescent="0.3">
      <c r="A4" s="3">
        <f>Raw_Flight_Data!A4</f>
        <v>45566</v>
      </c>
      <c r="B4" t="str">
        <f>Raw_Flight_Data!B4</f>
        <v>GVA</v>
      </c>
      <c r="C4">
        <f>Raw_Flight_Data!C4</f>
        <v>198</v>
      </c>
      <c r="D4">
        <f>C4 * VLOOKUP(B4, Logistics_Master!$A$2:$J$4, 5, FALSE)</f>
        <v>2475</v>
      </c>
      <c r="E4">
        <f>D4 * VLOOKUP(B4, Logistics_Master!$A$2:$J$4, 6, FALSE)</f>
        <v>14850</v>
      </c>
      <c r="F4">
        <f>IF(A4=MIN(Raw_Flight_Data!$A$2:$A$100), VLOOKUP(B4, Logistics_Master!$A$2:$J$4, 7, FALSE) * 0.8, SUMIFS($I$1:I3, $B$1:B3, B4, $A$1:A3, A4-1))</f>
        <v>22400</v>
      </c>
      <c r="G4">
        <f t="shared" si="0"/>
        <v>19925</v>
      </c>
      <c r="H4">
        <f>IF(G4 &lt;= E4, VLOOKUP(B4, Logistics_Master!$A$2:$J$4, 7, FALSE) - G4, 0)</f>
        <v>0</v>
      </c>
      <c r="I4">
        <f t="shared" si="1"/>
        <v>19925</v>
      </c>
      <c r="J4" t="str">
        <f>IF(H4=0, "", IF(VLOOKUP(B4, Logistics_Master!$A$2:$J$4, 4, FALSE)="Truck", ROUNDUP(H4/30, 0) &amp; " Trucks", IF(VLOOKUP(B4, Logistics_Master!$A$2:$J$4, 4, FALSE)="Sea Vessel", "Sea Vessel (MR Tanker)", IF(VLOOKUP(B4, Logistics_Master!$A$2:$J$4, 4, FALSE)="Rail", ROUNDUP(H4/1200, 0) &amp; " Block Trains", "Pipeline Batch"))))</f>
        <v/>
      </c>
    </row>
    <row r="5" spans="1:10" x14ac:dyDescent="0.3">
      <c r="A5" s="3">
        <f>Raw_Flight_Data!A5</f>
        <v>45567</v>
      </c>
      <c r="B5" t="str">
        <f>Raw_Flight_Data!B5</f>
        <v>FRA</v>
      </c>
      <c r="C5">
        <f>Raw_Flight_Data!C5</f>
        <v>620</v>
      </c>
      <c r="D5">
        <f>C5 * VLOOKUP(B5, Logistics_Master!$A$2:$J$4, 5, FALSE)</f>
        <v>14880</v>
      </c>
      <c r="E5">
        <f>D5 * VLOOKUP(B5, Logistics_Master!$A$2:$J$4, 6, FALSE)</f>
        <v>59520</v>
      </c>
      <c r="F5">
        <f>IF(A5=MIN(Raw_Flight_Data!$A$2:$A$100), VLOOKUP(B5, Logistics_Master!$A$2:$J$4, 7, FALSE) * 0.8, SUMIFS($I$1:I4, $B$1:B4, B5, $A$1:A4, A5-1))</f>
        <v>97240</v>
      </c>
      <c r="G5">
        <f t="shared" si="0"/>
        <v>82360</v>
      </c>
      <c r="H5">
        <f>IF(G5 &lt;= E5, VLOOKUP(B5, Logistics_Master!$A$2:$J$4, 7, FALSE) - G5, 0)</f>
        <v>0</v>
      </c>
      <c r="I5">
        <f t="shared" si="1"/>
        <v>82360</v>
      </c>
      <c r="J5" t="str">
        <f>IF(H5=0, "", IF(VLOOKUP(B5, Logistics_Master!$A$2:$J$4, 4, FALSE)="Truck", ROUNDUP(H5/30, 0) &amp; " Trucks", IF(VLOOKUP(B5, Logistics_Master!$A$2:$J$4, 4, FALSE)="Sea Vessel", "Sea Vessel (MR Tanker)", IF(VLOOKUP(B5, Logistics_Master!$A$2:$J$4, 4, FALSE)="Rail", ROUNDUP(H5/1200, 0) &amp; " Block Trains", "Pipeline Batch"))))</f>
        <v/>
      </c>
    </row>
    <row r="6" spans="1:10" x14ac:dyDescent="0.3">
      <c r="A6" s="3">
        <f>Raw_Flight_Data!A6</f>
        <v>45567</v>
      </c>
      <c r="B6" t="str">
        <f>Raw_Flight_Data!B6</f>
        <v>DUB</v>
      </c>
      <c r="C6">
        <f>Raw_Flight_Data!C6</f>
        <v>290</v>
      </c>
      <c r="D6">
        <f>C6 * VLOOKUP(B6, Logistics_Master!$A$2:$J$4, 5, FALSE)</f>
        <v>4640</v>
      </c>
      <c r="E6">
        <f>D6 * VLOOKUP(B6, Logistics_Master!$A$2:$J$4, 6, FALSE)</f>
        <v>23200</v>
      </c>
      <c r="F6">
        <f>IF(A6=MIN(Raw_Flight_Data!$A$2:$A$100), VLOOKUP(B6, Logistics_Master!$A$2:$J$4, 7, FALSE) * 0.8, SUMIFS($I$1:I5, $B$1:B5, B6, $A$1:A5, A6-1))</f>
        <v>31440</v>
      </c>
      <c r="G6">
        <f t="shared" si="0"/>
        <v>26800</v>
      </c>
      <c r="H6">
        <f>IF(G6 &lt;= E6, VLOOKUP(B6, Logistics_Master!$A$2:$J$4, 7, FALSE) - G6, 0)</f>
        <v>0</v>
      </c>
      <c r="I6">
        <f t="shared" si="1"/>
        <v>26800</v>
      </c>
      <c r="J6" t="str">
        <f>IF(H6=0, "", IF(VLOOKUP(B6, Logistics_Master!$A$2:$J$4, 4, FALSE)="Truck", ROUNDUP(H6/30, 0) &amp; " Trucks", IF(VLOOKUP(B6, Logistics_Master!$A$2:$J$4, 4, FALSE)="Sea Vessel", "Sea Vessel (MR Tanker)", IF(VLOOKUP(B6, Logistics_Master!$A$2:$J$4, 4, FALSE)="Rail", ROUNDUP(H6/1200, 0) &amp; " Block Trains", "Pipeline Batch"))))</f>
        <v/>
      </c>
    </row>
    <row r="7" spans="1:10" x14ac:dyDescent="0.3">
      <c r="A7" s="3">
        <f>Raw_Flight_Data!A7</f>
        <v>45567</v>
      </c>
      <c r="B7" t="str">
        <f>Raw_Flight_Data!B7</f>
        <v>GVA</v>
      </c>
      <c r="C7">
        <f>Raw_Flight_Data!C7</f>
        <v>202</v>
      </c>
      <c r="D7">
        <f>C7 * VLOOKUP(B7, Logistics_Master!$A$2:$J$4, 5, FALSE)</f>
        <v>2525</v>
      </c>
      <c r="E7">
        <f>D7 * VLOOKUP(B7, Logistics_Master!$A$2:$J$4, 6, FALSE)</f>
        <v>15150</v>
      </c>
      <c r="F7">
        <f>IF(A7=MIN(Raw_Flight_Data!$A$2:$A$100), VLOOKUP(B7, Logistics_Master!$A$2:$J$4, 7, FALSE) * 0.8, SUMIFS($I$1:I6, $B$1:B6, B7, $A$1:A6, A7-1))</f>
        <v>19925</v>
      </c>
      <c r="G7">
        <f t="shared" si="0"/>
        <v>17400</v>
      </c>
      <c r="H7">
        <f>IF(G7 &lt;= E7, VLOOKUP(B7, Logistics_Master!$A$2:$J$4, 7, FALSE) - G7, 0)</f>
        <v>0</v>
      </c>
      <c r="I7">
        <f t="shared" si="1"/>
        <v>17400</v>
      </c>
      <c r="J7" t="str">
        <f>IF(H7=0, "", IF(VLOOKUP(B7, Logistics_Master!$A$2:$J$4, 4, FALSE)="Truck", ROUNDUP(H7/30, 0) &amp; " Trucks", IF(VLOOKUP(B7, Logistics_Master!$A$2:$J$4, 4, FALSE)="Sea Vessel", "Sea Vessel (MR Tanker)", IF(VLOOKUP(B7, Logistics_Master!$A$2:$J$4, 4, FALSE)="Rail", ROUNDUP(H7/1200, 0) &amp; " Block Trains", "Pipeline Batch"))))</f>
        <v/>
      </c>
    </row>
    <row r="8" spans="1:10" x14ac:dyDescent="0.3">
      <c r="A8" s="3">
        <f>Raw_Flight_Data!A8</f>
        <v>45568</v>
      </c>
      <c r="B8" t="str">
        <f>Raw_Flight_Data!B8</f>
        <v>FRA</v>
      </c>
      <c r="C8">
        <f>Raw_Flight_Data!C8</f>
        <v>632</v>
      </c>
      <c r="D8">
        <f>C8 * VLOOKUP(B8, Logistics_Master!$A$2:$J$4, 5, FALSE)</f>
        <v>15168</v>
      </c>
      <c r="E8">
        <f>D8 * VLOOKUP(B8, Logistics_Master!$A$2:$J$4, 6, FALSE)</f>
        <v>60672</v>
      </c>
      <c r="F8">
        <f>IF(A8=MIN(Raw_Flight_Data!$A$2:$A$100), VLOOKUP(B8, Logistics_Master!$A$2:$J$4, 7, FALSE) * 0.8, SUMIFS($I$1:I7, $B$1:B7, B8, $A$1:A7, A8-1))</f>
        <v>82360</v>
      </c>
      <c r="G8">
        <f t="shared" si="0"/>
        <v>67192</v>
      </c>
      <c r="H8">
        <f>IF(G8 &lt;= E8, VLOOKUP(B8, Logistics_Master!$A$2:$J$4, 7, FALSE) - G8, 0)</f>
        <v>0</v>
      </c>
      <c r="I8">
        <f t="shared" si="1"/>
        <v>67192</v>
      </c>
      <c r="J8" t="str">
        <f>IF(H8=0, "", IF(VLOOKUP(B8, Logistics_Master!$A$2:$J$4, 4, FALSE)="Truck", ROUNDUP(H8/30, 0) &amp; " Trucks", IF(VLOOKUP(B8, Logistics_Master!$A$2:$J$4, 4, FALSE)="Sea Vessel", "Sea Vessel (MR Tanker)", IF(VLOOKUP(B8, Logistics_Master!$A$2:$J$4, 4, FALSE)="Rail", ROUNDUP(H8/1200, 0) &amp; " Block Trains", "Pipeline Batch"))))</f>
        <v/>
      </c>
    </row>
    <row r="9" spans="1:10" x14ac:dyDescent="0.3">
      <c r="A9" s="3">
        <f>Raw_Flight_Data!A9</f>
        <v>45568</v>
      </c>
      <c r="B9" t="str">
        <f>Raw_Flight_Data!B9</f>
        <v>DUB</v>
      </c>
      <c r="C9">
        <f>Raw_Flight_Data!C9</f>
        <v>298</v>
      </c>
      <c r="D9">
        <f>C9 * VLOOKUP(B9, Logistics_Master!$A$2:$J$4, 5, FALSE)</f>
        <v>4768</v>
      </c>
      <c r="E9">
        <f>D9 * VLOOKUP(B9, Logistics_Master!$A$2:$J$4, 6, FALSE)</f>
        <v>23840</v>
      </c>
      <c r="F9">
        <f>IF(A9=MIN(Raw_Flight_Data!$A$2:$A$100), VLOOKUP(B9, Logistics_Master!$A$2:$J$4, 7, FALSE) * 0.8, SUMIFS($I$1:I8, $B$1:B8, B9, $A$1:A8, A9-1))</f>
        <v>26800</v>
      </c>
      <c r="G9">
        <f t="shared" si="0"/>
        <v>22032</v>
      </c>
      <c r="H9">
        <f>IF(G9 &lt;= E9, VLOOKUP(B9, Logistics_Master!$A$2:$J$4, 7, FALSE) - G9, 0)</f>
        <v>22968</v>
      </c>
      <c r="I9">
        <f t="shared" si="1"/>
        <v>45000</v>
      </c>
      <c r="J9" t="str">
        <f>IF(H9=0, "", IF(VLOOKUP(B9, Logistics_Master!$A$2:$J$4, 4, FALSE)="Truck", ROUNDUP(H9/30, 0) &amp; " Trucks", IF(VLOOKUP(B9, Logistics_Master!$A$2:$J$4, 4, FALSE)="Sea Vessel", "Sea Vessel (MR Tanker)", IF(VLOOKUP(B9, Logistics_Master!$A$2:$J$4, 4, FALSE)="Rail", ROUNDUP(H9/1200, 0) &amp; " Block Trains", "Pipeline Batch"))))</f>
        <v>Sea Vessel (MR Tanker)</v>
      </c>
    </row>
    <row r="10" spans="1:10" x14ac:dyDescent="0.3">
      <c r="A10" s="3">
        <f>Raw_Flight_Data!A10</f>
        <v>45568</v>
      </c>
      <c r="B10" t="str">
        <f>Raw_Flight_Data!B10</f>
        <v>GVA</v>
      </c>
      <c r="C10">
        <f>Raw_Flight_Data!C10</f>
        <v>210</v>
      </c>
      <c r="D10">
        <f>C10 * VLOOKUP(B10, Logistics_Master!$A$2:$J$4, 5, FALSE)</f>
        <v>2625</v>
      </c>
      <c r="E10">
        <f>D10 * VLOOKUP(B10, Logistics_Master!$A$2:$J$4, 6, FALSE)</f>
        <v>15750</v>
      </c>
      <c r="F10">
        <f>IF(A10=MIN(Raw_Flight_Data!$A$2:$A$100), VLOOKUP(B10, Logistics_Master!$A$2:$J$4, 7, FALSE) * 0.8, SUMIFS($I$1:I9, $B$1:B9, B10, $A$1:A9, A10-1))</f>
        <v>17400</v>
      </c>
      <c r="G10">
        <f t="shared" si="0"/>
        <v>14775</v>
      </c>
      <c r="H10">
        <f>IF(G10 &lt;= E10, VLOOKUP(B10, Logistics_Master!$A$2:$J$4, 7, FALSE) - G10, 0)</f>
        <v>13225</v>
      </c>
      <c r="I10">
        <f t="shared" si="1"/>
        <v>28000</v>
      </c>
      <c r="J10" t="str">
        <f>IF(H10=0, "", IF(VLOOKUP(B10, Logistics_Master!$A$2:$J$4, 4, FALSE)="Truck", ROUNDUP(H10/30, 0) &amp; " Trucks", IF(VLOOKUP(B10, Logistics_Master!$A$2:$J$4, 4, FALSE)="Sea Vessel", "Sea Vessel (MR Tanker)", IF(VLOOKUP(B10, Logistics_Master!$A$2:$J$4, 4, FALSE)="Rail", ROUNDUP(H10/1200, 0) &amp; " Block Trains", "Pipeline Batch"))))</f>
        <v>12 Block Trains</v>
      </c>
    </row>
    <row r="11" spans="1:10" x14ac:dyDescent="0.3">
      <c r="A11" s="3">
        <f>Raw_Flight_Data!A11</f>
        <v>45569</v>
      </c>
      <c r="B11" t="str">
        <f>Raw_Flight_Data!B11</f>
        <v>FRA</v>
      </c>
      <c r="C11">
        <f>Raw_Flight_Data!C11</f>
        <v>648</v>
      </c>
      <c r="D11">
        <f>C11 * VLOOKUP(B11, Logistics_Master!$A$2:$J$4, 5, FALSE)</f>
        <v>15552</v>
      </c>
      <c r="E11">
        <f>D11 * VLOOKUP(B11, Logistics_Master!$A$2:$J$4, 6, FALSE)</f>
        <v>62208</v>
      </c>
      <c r="F11">
        <f>IF(A11=MIN(Raw_Flight_Data!$A$2:$A$100), VLOOKUP(B11, Logistics_Master!$A$2:$J$4, 7, FALSE) * 0.8, SUMIFS($I$1:I10, $B$1:B10, B11, $A$1:A10, A11-1))</f>
        <v>67192</v>
      </c>
      <c r="G11">
        <f t="shared" si="0"/>
        <v>51640</v>
      </c>
      <c r="H11">
        <f>IF(G11 &lt;= E11, VLOOKUP(B11, Logistics_Master!$A$2:$J$4, 7, FALSE) - G11, 0)</f>
        <v>88360</v>
      </c>
      <c r="I11">
        <f t="shared" si="1"/>
        <v>140000</v>
      </c>
      <c r="J11" t="str">
        <f>IF(H11=0, "", IF(VLOOKUP(B11, Logistics_Master!$A$2:$J$4, 4, FALSE)="Truck", ROUNDUP(H11/30, 0) &amp; " Trucks", IF(VLOOKUP(B11, Logistics_Master!$A$2:$J$4, 4, FALSE)="Sea Vessel", "Sea Vessel (MR Tanker)", IF(VLOOKUP(B11, Logistics_Master!$A$2:$J$4, 4, FALSE)="Rail", ROUNDUP(H11/1200, 0) &amp; " Block Trains", "Pipeline Batch"))))</f>
        <v>Pipeline Batch</v>
      </c>
    </row>
    <row r="12" spans="1:10" x14ac:dyDescent="0.3">
      <c r="A12" s="3">
        <f>Raw_Flight_Data!A12</f>
        <v>45569</v>
      </c>
      <c r="B12" t="str">
        <f>Raw_Flight_Data!B12</f>
        <v>DUB</v>
      </c>
      <c r="C12">
        <f>Raw_Flight_Data!C12</f>
        <v>312</v>
      </c>
      <c r="D12">
        <f>C12 * VLOOKUP(B12, Logistics_Master!$A$2:$J$4, 5, FALSE)</f>
        <v>4992</v>
      </c>
      <c r="E12">
        <f>D12 * VLOOKUP(B12, Logistics_Master!$A$2:$J$4, 6, FALSE)</f>
        <v>24960</v>
      </c>
      <c r="F12">
        <f>IF(A12=MIN(Raw_Flight_Data!$A$2:$A$100), VLOOKUP(B12, Logistics_Master!$A$2:$J$4, 7, FALSE) * 0.8, SUMIFS($I$1:I11, $B$1:B11, B12, $A$1:A11, A12-1))</f>
        <v>45000</v>
      </c>
      <c r="G12">
        <f t="shared" si="0"/>
        <v>40008</v>
      </c>
      <c r="H12">
        <f>IF(G12 &lt;= E12, VLOOKUP(B12, Logistics_Master!$A$2:$J$4, 7, FALSE) - G12, 0)</f>
        <v>0</v>
      </c>
      <c r="I12">
        <f t="shared" si="1"/>
        <v>40008</v>
      </c>
      <c r="J12" t="str">
        <f>IF(H12=0, "", IF(VLOOKUP(B12, Logistics_Master!$A$2:$J$4, 4, FALSE)="Truck", ROUNDUP(H12/30, 0) &amp; " Trucks", IF(VLOOKUP(B12, Logistics_Master!$A$2:$J$4, 4, FALSE)="Sea Vessel", "Sea Vessel (MR Tanker)", IF(VLOOKUP(B12, Logistics_Master!$A$2:$J$4, 4, FALSE)="Rail", ROUNDUP(H12/1200, 0) &amp; " Block Trains", "Pipeline Batch"))))</f>
        <v/>
      </c>
    </row>
    <row r="13" spans="1:10" x14ac:dyDescent="0.3">
      <c r="A13" s="3">
        <f>Raw_Flight_Data!A13</f>
        <v>45569</v>
      </c>
      <c r="B13" t="str">
        <f>Raw_Flight_Data!B13</f>
        <v>GVA</v>
      </c>
      <c r="C13">
        <f>Raw_Flight_Data!C13</f>
        <v>224</v>
      </c>
      <c r="D13">
        <f>C13 * VLOOKUP(B13, Logistics_Master!$A$2:$J$4, 5, FALSE)</f>
        <v>2800</v>
      </c>
      <c r="E13">
        <f>D13 * VLOOKUP(B13, Logistics_Master!$A$2:$J$4, 6, FALSE)</f>
        <v>16800</v>
      </c>
      <c r="F13">
        <f>IF(A13=MIN(Raw_Flight_Data!$A$2:$A$100), VLOOKUP(B13, Logistics_Master!$A$2:$J$4, 7, FALSE) * 0.8, SUMIFS($I$1:I12, $B$1:B12, B13, $A$1:A12, A13-1))</f>
        <v>28000</v>
      </c>
      <c r="G13">
        <f t="shared" si="0"/>
        <v>25200</v>
      </c>
      <c r="H13">
        <f>IF(G13 &lt;= E13, VLOOKUP(B13, Logistics_Master!$A$2:$J$4, 7, FALSE) - G13, 0)</f>
        <v>0</v>
      </c>
      <c r="I13">
        <f t="shared" si="1"/>
        <v>25200</v>
      </c>
      <c r="J13" t="str">
        <f>IF(H13=0, "", IF(VLOOKUP(B13, Logistics_Master!$A$2:$J$4, 4, FALSE)="Truck", ROUNDUP(H13/30, 0) &amp; " Trucks", IF(VLOOKUP(B13, Logistics_Master!$A$2:$J$4, 4, FALSE)="Sea Vessel", "Sea Vessel (MR Tanker)", IF(VLOOKUP(B13, Logistics_Master!$A$2:$J$4, 4, FALSE)="Rail", ROUNDUP(H13/1200, 0) &amp; " Block Trains", "Pipeline Batch"))))</f>
        <v/>
      </c>
    </row>
    <row r="14" spans="1:10" x14ac:dyDescent="0.3">
      <c r="A14" s="3">
        <f>Raw_Flight_Data!A14</f>
        <v>45570</v>
      </c>
      <c r="B14" t="str">
        <f>Raw_Flight_Data!B14</f>
        <v>FRA</v>
      </c>
      <c r="C14">
        <f>Raw_Flight_Data!C14</f>
        <v>575</v>
      </c>
      <c r="D14">
        <f>C14 * VLOOKUP(B14, Logistics_Master!$A$2:$J$4, 5, FALSE)</f>
        <v>13800</v>
      </c>
      <c r="E14">
        <f>D14 * VLOOKUP(B14, Logistics_Master!$A$2:$J$4, 6, FALSE)</f>
        <v>55200</v>
      </c>
      <c r="F14">
        <f>IF(A14=MIN(Raw_Flight_Data!$A$2:$A$100), VLOOKUP(B14, Logistics_Master!$A$2:$J$4, 7, FALSE) * 0.8, SUMIFS($I$1:I13, $B$1:B13, B14, $A$1:A13, A14-1))</f>
        <v>140000</v>
      </c>
      <c r="G14">
        <f t="shared" si="0"/>
        <v>126200</v>
      </c>
      <c r="H14">
        <f>IF(G14 &lt;= E14, VLOOKUP(B14, Logistics_Master!$A$2:$J$4, 7, FALSE) - G14, 0)</f>
        <v>0</v>
      </c>
      <c r="I14">
        <f t="shared" si="1"/>
        <v>126200</v>
      </c>
      <c r="J14" t="str">
        <f>IF(H14=0, "", IF(VLOOKUP(B14, Logistics_Master!$A$2:$J$4, 4, FALSE)="Truck", ROUNDUP(H14/30, 0) &amp; " Trucks", IF(VLOOKUP(B14, Logistics_Master!$A$2:$J$4, 4, FALSE)="Sea Vessel", "Sea Vessel (MR Tanker)", IF(VLOOKUP(B14, Logistics_Master!$A$2:$J$4, 4, FALSE)="Rail", ROUNDUP(H14/1200, 0) &amp; " Block Trains", "Pipeline Batch"))))</f>
        <v/>
      </c>
    </row>
    <row r="15" spans="1:10" x14ac:dyDescent="0.3">
      <c r="A15" s="3">
        <f>Raw_Flight_Data!A15</f>
        <v>45570</v>
      </c>
      <c r="B15" t="str">
        <f>Raw_Flight_Data!B15</f>
        <v>DUB</v>
      </c>
      <c r="C15">
        <f>Raw_Flight_Data!C15</f>
        <v>265</v>
      </c>
      <c r="D15">
        <f>C15 * VLOOKUP(B15, Logistics_Master!$A$2:$J$4, 5, FALSE)</f>
        <v>4240</v>
      </c>
      <c r="E15">
        <f>D15 * VLOOKUP(B15, Logistics_Master!$A$2:$J$4, 6, FALSE)</f>
        <v>21200</v>
      </c>
      <c r="F15">
        <f>IF(A15=MIN(Raw_Flight_Data!$A$2:$A$100), VLOOKUP(B15, Logistics_Master!$A$2:$J$4, 7, FALSE) * 0.8, SUMIFS($I$1:I14, $B$1:B14, B15, $A$1:A14, A15-1))</f>
        <v>40008</v>
      </c>
      <c r="G15">
        <f t="shared" si="0"/>
        <v>35768</v>
      </c>
      <c r="H15">
        <f>IF(G15 &lt;= E15, VLOOKUP(B15, Logistics_Master!$A$2:$J$4, 7, FALSE) - G15, 0)</f>
        <v>0</v>
      </c>
      <c r="I15">
        <f t="shared" si="1"/>
        <v>35768</v>
      </c>
      <c r="J15" t="str">
        <f>IF(H15=0, "", IF(VLOOKUP(B15, Logistics_Master!$A$2:$J$4, 4, FALSE)="Truck", ROUNDUP(H15/30, 0) &amp; " Trucks", IF(VLOOKUP(B15, Logistics_Master!$A$2:$J$4, 4, FALSE)="Sea Vessel", "Sea Vessel (MR Tanker)", IF(VLOOKUP(B15, Logistics_Master!$A$2:$J$4, 4, FALSE)="Rail", ROUNDUP(H15/1200, 0) &amp; " Block Trains", "Pipeline Batch"))))</f>
        <v/>
      </c>
    </row>
    <row r="16" spans="1:10" x14ac:dyDescent="0.3">
      <c r="A16" s="3">
        <f>Raw_Flight_Data!A16</f>
        <v>45570</v>
      </c>
      <c r="B16" t="str">
        <f>Raw_Flight_Data!B16</f>
        <v>GVA</v>
      </c>
      <c r="C16">
        <f>Raw_Flight_Data!C16</f>
        <v>185</v>
      </c>
      <c r="D16">
        <f>C16 * VLOOKUP(B16, Logistics_Master!$A$2:$J$4, 5, FALSE)</f>
        <v>2312.5</v>
      </c>
      <c r="E16">
        <f>D16 * VLOOKUP(B16, Logistics_Master!$A$2:$J$4, 6, FALSE)</f>
        <v>13875</v>
      </c>
      <c r="F16">
        <f>IF(A16=MIN(Raw_Flight_Data!$A$2:$A$100), VLOOKUP(B16, Logistics_Master!$A$2:$J$4, 7, FALSE) * 0.8, SUMIFS($I$1:I15, $B$1:B15, B16, $A$1:A15, A16-1))</f>
        <v>25200</v>
      </c>
      <c r="G16">
        <f t="shared" si="0"/>
        <v>22887.5</v>
      </c>
      <c r="H16">
        <f>IF(G16 &lt;= E16, VLOOKUP(B16, Logistics_Master!$A$2:$J$4, 7, FALSE) - G16, 0)</f>
        <v>0</v>
      </c>
      <c r="I16">
        <f t="shared" si="1"/>
        <v>22887.5</v>
      </c>
      <c r="J16" t="str">
        <f>IF(H16=0, "", IF(VLOOKUP(B16, Logistics_Master!$A$2:$J$4, 4, FALSE)="Truck", ROUNDUP(H16/30, 0) &amp; " Trucks", IF(VLOOKUP(B16, Logistics_Master!$A$2:$J$4, 4, FALSE)="Sea Vessel", "Sea Vessel (MR Tanker)", IF(VLOOKUP(B16, Logistics_Master!$A$2:$J$4, 4, FALSE)="Rail", ROUNDUP(H16/1200, 0) &amp; " Block Trains", "Pipeline Batch"))))</f>
        <v/>
      </c>
    </row>
    <row r="17" spans="1:10" x14ac:dyDescent="0.3">
      <c r="A17" s="3">
        <f>Raw_Flight_Data!A17</f>
        <v>45571</v>
      </c>
      <c r="B17" t="str">
        <f>Raw_Flight_Data!B17</f>
        <v>FRA</v>
      </c>
      <c r="C17">
        <f>Raw_Flight_Data!C17</f>
        <v>630</v>
      </c>
      <c r="D17">
        <f>C17 * VLOOKUP(B17, Logistics_Master!$A$2:$J$4, 5, FALSE)</f>
        <v>15120</v>
      </c>
      <c r="E17">
        <f>D17 * VLOOKUP(B17, Logistics_Master!$A$2:$J$4, 6, FALSE)</f>
        <v>60480</v>
      </c>
      <c r="F17">
        <f>IF(A17=MIN(Raw_Flight_Data!$A$2:$A$100), VLOOKUP(B17, Logistics_Master!$A$2:$J$4, 7, FALSE) * 0.8, SUMIFS($I$1:I16, $B$1:B16, B17, $A$1:A16, A17-1))</f>
        <v>126200</v>
      </c>
      <c r="G17">
        <f t="shared" si="0"/>
        <v>111080</v>
      </c>
      <c r="H17">
        <f>IF(G17 &lt;= E17, VLOOKUP(B17, Logistics_Master!$A$2:$J$4, 7, FALSE) - G17, 0)</f>
        <v>0</v>
      </c>
      <c r="I17">
        <f t="shared" si="1"/>
        <v>111080</v>
      </c>
      <c r="J17" t="str">
        <f>IF(H17=0, "", IF(VLOOKUP(B17, Logistics_Master!$A$2:$J$4, 4, FALSE)="Truck", ROUNDUP(H17/30, 0) &amp; " Trucks", IF(VLOOKUP(B17, Logistics_Master!$A$2:$J$4, 4, FALSE)="Sea Vessel", "Sea Vessel (MR Tanker)", IF(VLOOKUP(B17, Logistics_Master!$A$2:$J$4, 4, FALSE)="Rail", ROUNDUP(H17/1200, 0) &amp; " Block Trains", "Pipeline Batch"))))</f>
        <v/>
      </c>
    </row>
    <row r="18" spans="1:10" x14ac:dyDescent="0.3">
      <c r="A18" s="3">
        <f>Raw_Flight_Data!A18</f>
        <v>45571</v>
      </c>
      <c r="B18" t="str">
        <f>Raw_Flight_Data!B18</f>
        <v>DUB</v>
      </c>
      <c r="C18">
        <f>Raw_Flight_Data!C18</f>
        <v>305</v>
      </c>
      <c r="D18">
        <f>C18 * VLOOKUP(B18, Logistics_Master!$A$2:$J$4, 5, FALSE)</f>
        <v>4880</v>
      </c>
      <c r="E18">
        <f>D18 * VLOOKUP(B18, Logistics_Master!$A$2:$J$4, 6, FALSE)</f>
        <v>24400</v>
      </c>
      <c r="F18">
        <f>IF(A18=MIN(Raw_Flight_Data!$A$2:$A$100), VLOOKUP(B18, Logistics_Master!$A$2:$J$4, 7, FALSE) * 0.8, SUMIFS($I$1:I17, $B$1:B17, B18, $A$1:A17, A18-1))</f>
        <v>35768</v>
      </c>
      <c r="G18">
        <f t="shared" si="0"/>
        <v>30888</v>
      </c>
      <c r="H18">
        <f>IF(G18 &lt;= E18, VLOOKUP(B18, Logistics_Master!$A$2:$J$4, 7, FALSE) - G18, 0)</f>
        <v>0</v>
      </c>
      <c r="I18">
        <f t="shared" si="1"/>
        <v>30888</v>
      </c>
      <c r="J18" t="str">
        <f>IF(H18=0, "", IF(VLOOKUP(B18, Logistics_Master!$A$2:$J$4, 4, FALSE)="Truck", ROUNDUP(H18/30, 0) &amp; " Trucks", IF(VLOOKUP(B18, Logistics_Master!$A$2:$J$4, 4, FALSE)="Sea Vessel", "Sea Vessel (MR Tanker)", IF(VLOOKUP(B18, Logistics_Master!$A$2:$J$4, 4, FALSE)="Rail", ROUNDUP(H18/1200, 0) &amp; " Block Trains", "Pipeline Batch"))))</f>
        <v/>
      </c>
    </row>
    <row r="19" spans="1:10" x14ac:dyDescent="0.3">
      <c r="A19" s="3">
        <f>Raw_Flight_Data!A19</f>
        <v>45571</v>
      </c>
      <c r="B19" t="str">
        <f>Raw_Flight_Data!B19</f>
        <v>GVA</v>
      </c>
      <c r="C19">
        <f>Raw_Flight_Data!C19</f>
        <v>215</v>
      </c>
      <c r="D19">
        <f>C19 * VLOOKUP(B19, Logistics_Master!$A$2:$J$4, 5, FALSE)</f>
        <v>2687.5</v>
      </c>
      <c r="E19">
        <f>D19 * VLOOKUP(B19, Logistics_Master!$A$2:$J$4, 6, FALSE)</f>
        <v>16125</v>
      </c>
      <c r="F19">
        <f>IF(A19=MIN(Raw_Flight_Data!$A$2:$A$100), VLOOKUP(B19, Logistics_Master!$A$2:$J$4, 7, FALSE) * 0.8, SUMIFS($I$1:I18, $B$1:B18, B19, $A$1:A18, A19-1))</f>
        <v>22887.5</v>
      </c>
      <c r="G19">
        <f t="shared" si="0"/>
        <v>20200</v>
      </c>
      <c r="H19">
        <f>IF(G19 &lt;= E19, VLOOKUP(B19, Logistics_Master!$A$2:$J$4, 7, FALSE) - G19, 0)</f>
        <v>0</v>
      </c>
      <c r="I19">
        <f t="shared" si="1"/>
        <v>20200</v>
      </c>
      <c r="J19" t="str">
        <f>IF(H19=0, "", IF(VLOOKUP(B19, Logistics_Master!$A$2:$J$4, 4, FALSE)="Truck", ROUNDUP(H19/30, 0) &amp; " Trucks", IF(VLOOKUP(B19, Logistics_Master!$A$2:$J$4, 4, FALSE)="Sea Vessel", "Sea Vessel (MR Tanker)", IF(VLOOKUP(B19, Logistics_Master!$A$2:$J$4, 4, FALSE)="Rail", ROUNDUP(H19/1200, 0) &amp; " Block Trains", "Pipeline Batch"))))</f>
        <v/>
      </c>
    </row>
    <row r="20" spans="1:10" x14ac:dyDescent="0.3">
      <c r="A20" s="3">
        <f>Raw_Flight_Data!A20</f>
        <v>45572</v>
      </c>
      <c r="B20" t="str">
        <f>Raw_Flight_Data!B20</f>
        <v>FRA</v>
      </c>
      <c r="C20">
        <f>Raw_Flight_Data!C20</f>
        <v>610</v>
      </c>
      <c r="D20">
        <f>C20 * VLOOKUP(B20, Logistics_Master!$A$2:$J$4, 5, FALSE)</f>
        <v>14640</v>
      </c>
      <c r="E20">
        <f>D20 * VLOOKUP(B20, Logistics_Master!$A$2:$J$4, 6, FALSE)</f>
        <v>58560</v>
      </c>
      <c r="F20">
        <f>IF(A20=MIN(Raw_Flight_Data!$A$2:$A$100), VLOOKUP(B20, Logistics_Master!$A$2:$J$4, 7, FALSE) * 0.8, SUMIFS($I$1:I19, $B$1:B19, B20, $A$1:A19, A20-1))</f>
        <v>111080</v>
      </c>
      <c r="G20">
        <f t="shared" si="0"/>
        <v>96440</v>
      </c>
      <c r="H20">
        <f>IF(G20 &lt;= E20, VLOOKUP(B20, Logistics_Master!$A$2:$J$4, 7, FALSE) - G20, 0)</f>
        <v>0</v>
      </c>
      <c r="I20">
        <f t="shared" si="1"/>
        <v>96440</v>
      </c>
      <c r="J20" t="str">
        <f>IF(H20=0, "", IF(VLOOKUP(B20, Logistics_Master!$A$2:$J$4, 4, FALSE)="Truck", ROUNDUP(H20/30, 0) &amp; " Trucks", IF(VLOOKUP(B20, Logistics_Master!$A$2:$J$4, 4, FALSE)="Sea Vessel", "Sea Vessel (MR Tanker)", IF(VLOOKUP(B20, Logistics_Master!$A$2:$J$4, 4, FALSE)="Rail", ROUNDUP(H20/1200, 0) &amp; " Block Trains", "Pipeline Batch"))))</f>
        <v/>
      </c>
    </row>
    <row r="21" spans="1:10" x14ac:dyDescent="0.3">
      <c r="A21" s="3">
        <f>Raw_Flight_Data!A21</f>
        <v>45572</v>
      </c>
      <c r="B21" t="str">
        <f>Raw_Flight_Data!B21</f>
        <v>DUB</v>
      </c>
      <c r="C21">
        <f>Raw_Flight_Data!C21</f>
        <v>282</v>
      </c>
      <c r="D21">
        <f>C21 * VLOOKUP(B21, Logistics_Master!$A$2:$J$4, 5, FALSE)</f>
        <v>4512</v>
      </c>
      <c r="E21">
        <f>D21 * VLOOKUP(B21, Logistics_Master!$A$2:$J$4, 6, FALSE)</f>
        <v>22560</v>
      </c>
      <c r="F21">
        <f>IF(A21=MIN(Raw_Flight_Data!$A$2:$A$100), VLOOKUP(B21, Logistics_Master!$A$2:$J$4, 7, FALSE) * 0.8, SUMIFS($I$1:I20, $B$1:B20, B21, $A$1:A20, A21-1))</f>
        <v>30888</v>
      </c>
      <c r="G21">
        <f t="shared" si="0"/>
        <v>26376</v>
      </c>
      <c r="H21">
        <f>IF(G21 &lt;= E21, VLOOKUP(B21, Logistics_Master!$A$2:$J$4, 7, FALSE) - G21, 0)</f>
        <v>0</v>
      </c>
      <c r="I21">
        <f t="shared" si="1"/>
        <v>26376</v>
      </c>
      <c r="J21" t="str">
        <f>IF(H21=0, "", IF(VLOOKUP(B21, Logistics_Master!$A$2:$J$4, 4, FALSE)="Truck", ROUNDUP(H21/30, 0) &amp; " Trucks", IF(VLOOKUP(B21, Logistics_Master!$A$2:$J$4, 4, FALSE)="Sea Vessel", "Sea Vessel (MR Tanker)", IF(VLOOKUP(B21, Logistics_Master!$A$2:$J$4, 4, FALSE)="Rail", ROUNDUP(H21/1200, 0) &amp; " Block Trains", "Pipeline Batch"))))</f>
        <v/>
      </c>
    </row>
    <row r="22" spans="1:10" x14ac:dyDescent="0.3">
      <c r="A22" s="3">
        <f>Raw_Flight_Data!A22</f>
        <v>45572</v>
      </c>
      <c r="B22" t="str">
        <f>Raw_Flight_Data!B22</f>
        <v>GVA</v>
      </c>
      <c r="C22">
        <f>Raw_Flight_Data!C22</f>
        <v>195</v>
      </c>
      <c r="D22">
        <f>C22 * VLOOKUP(B22, Logistics_Master!$A$2:$J$4, 5, FALSE)</f>
        <v>2437.5</v>
      </c>
      <c r="E22">
        <f>D22 * VLOOKUP(B22, Logistics_Master!$A$2:$J$4, 6, FALSE)</f>
        <v>14625</v>
      </c>
      <c r="F22">
        <f>IF(A22=MIN(Raw_Flight_Data!$A$2:$A$100), VLOOKUP(B22, Logistics_Master!$A$2:$J$4, 7, FALSE) * 0.8, SUMIFS($I$1:I21, $B$1:B21, B22, $A$1:A21, A22-1))</f>
        <v>20200</v>
      </c>
      <c r="G22">
        <f t="shared" si="0"/>
        <v>17762.5</v>
      </c>
      <c r="H22">
        <f>IF(G22 &lt;= E22, VLOOKUP(B22, Logistics_Master!$A$2:$J$4, 7, FALSE) - G22, 0)</f>
        <v>0</v>
      </c>
      <c r="I22">
        <f t="shared" si="1"/>
        <v>17762.5</v>
      </c>
      <c r="J22" t="str">
        <f>IF(H22=0, "", IF(VLOOKUP(B22, Logistics_Master!$A$2:$J$4, 4, FALSE)="Truck", ROUNDUP(H22/30, 0) &amp; " Trucks", IF(VLOOKUP(B22, Logistics_Master!$A$2:$J$4, 4, FALSE)="Sea Vessel", "Sea Vessel (MR Tanker)", IF(VLOOKUP(B22, Logistics_Master!$A$2:$J$4, 4, FALSE)="Rail", ROUNDUP(H22/1200, 0) &amp; " Block Trains", "Pipeline Batch"))))</f>
        <v/>
      </c>
    </row>
    <row r="23" spans="1:10" x14ac:dyDescent="0.3">
      <c r="A23" s="3">
        <f>Raw_Flight_Data!A23</f>
        <v>45573</v>
      </c>
      <c r="B23" t="str">
        <f>Raw_Flight_Data!B23</f>
        <v>FRA</v>
      </c>
      <c r="C23">
        <f>Raw_Flight_Data!C23</f>
        <v>618</v>
      </c>
      <c r="D23">
        <f>C23 * VLOOKUP(B23, Logistics_Master!$A$2:$J$4, 5, FALSE)</f>
        <v>14832</v>
      </c>
      <c r="E23">
        <f>D23 * VLOOKUP(B23, Logistics_Master!$A$2:$J$4, 6, FALSE)</f>
        <v>59328</v>
      </c>
      <c r="F23">
        <f>IF(A23=MIN(Raw_Flight_Data!$A$2:$A$100), VLOOKUP(B23, Logistics_Master!$A$2:$J$4, 7, FALSE) * 0.8, SUMIFS($I$1:I22, $B$1:B22, B23, $A$1:A22, A23-1))</f>
        <v>96440</v>
      </c>
      <c r="G23">
        <f t="shared" si="0"/>
        <v>81608</v>
      </c>
      <c r="H23">
        <f>IF(G23 &lt;= E23, VLOOKUP(B23, Logistics_Master!$A$2:$J$4, 7, FALSE) - G23, 0)</f>
        <v>0</v>
      </c>
      <c r="I23">
        <f t="shared" si="1"/>
        <v>81608</v>
      </c>
      <c r="J23" t="str">
        <f>IF(H23=0, "", IF(VLOOKUP(B23, Logistics_Master!$A$2:$J$4, 4, FALSE)="Truck", ROUNDUP(H23/30, 0) &amp; " Trucks", IF(VLOOKUP(B23, Logistics_Master!$A$2:$J$4, 4, FALSE)="Sea Vessel", "Sea Vessel (MR Tanker)", IF(VLOOKUP(B23, Logistics_Master!$A$2:$J$4, 4, FALSE)="Rail", ROUNDUP(H23/1200, 0) &amp; " Block Trains", "Pipeline Batch"))))</f>
        <v/>
      </c>
    </row>
    <row r="24" spans="1:10" x14ac:dyDescent="0.3">
      <c r="A24" s="3">
        <f>Raw_Flight_Data!A24</f>
        <v>45573</v>
      </c>
      <c r="B24" t="str">
        <f>Raw_Flight_Data!B24</f>
        <v>DUB</v>
      </c>
      <c r="C24">
        <f>Raw_Flight_Data!C24</f>
        <v>288</v>
      </c>
      <c r="D24">
        <f>C24 * VLOOKUP(B24, Logistics_Master!$A$2:$J$4, 5, FALSE)</f>
        <v>4608</v>
      </c>
      <c r="E24">
        <f>D24 * VLOOKUP(B24, Logistics_Master!$A$2:$J$4, 6, FALSE)</f>
        <v>23040</v>
      </c>
      <c r="F24">
        <f>IF(A24=MIN(Raw_Flight_Data!$A$2:$A$100), VLOOKUP(B24, Logistics_Master!$A$2:$J$4, 7, FALSE) * 0.8, SUMIFS($I$1:I23, $B$1:B23, B24, $A$1:A23, A24-1))</f>
        <v>26376</v>
      </c>
      <c r="G24">
        <f t="shared" si="0"/>
        <v>21768</v>
      </c>
      <c r="H24">
        <f>IF(G24 &lt;= E24, VLOOKUP(B24, Logistics_Master!$A$2:$J$4, 7, FALSE) - G24, 0)</f>
        <v>23232</v>
      </c>
      <c r="I24">
        <f t="shared" si="1"/>
        <v>45000</v>
      </c>
      <c r="J24" t="str">
        <f>IF(H24=0, "", IF(VLOOKUP(B24, Logistics_Master!$A$2:$J$4, 4, FALSE)="Truck", ROUNDUP(H24/30, 0) &amp; " Trucks", IF(VLOOKUP(B24, Logistics_Master!$A$2:$J$4, 4, FALSE)="Sea Vessel", "Sea Vessel (MR Tanker)", IF(VLOOKUP(B24, Logistics_Master!$A$2:$J$4, 4, FALSE)="Rail", ROUNDUP(H24/1200, 0) &amp; " Block Trains", "Pipeline Batch"))))</f>
        <v>Sea Vessel (MR Tanker)</v>
      </c>
    </row>
    <row r="25" spans="1:10" x14ac:dyDescent="0.3">
      <c r="A25" s="3">
        <f>Raw_Flight_Data!A25</f>
        <v>45573</v>
      </c>
      <c r="B25" t="str">
        <f>Raw_Flight_Data!B25</f>
        <v>GVA</v>
      </c>
      <c r="C25">
        <f>Raw_Flight_Data!C25</f>
        <v>199</v>
      </c>
      <c r="D25">
        <f>C25 * VLOOKUP(B25, Logistics_Master!$A$2:$J$4, 5, FALSE)</f>
        <v>2487.5</v>
      </c>
      <c r="E25">
        <f>D25 * VLOOKUP(B25, Logistics_Master!$A$2:$J$4, 6, FALSE)</f>
        <v>14925</v>
      </c>
      <c r="F25">
        <f>IF(A25=MIN(Raw_Flight_Data!$A$2:$A$100), VLOOKUP(B25, Logistics_Master!$A$2:$J$4, 7, FALSE) * 0.8, SUMIFS($I$1:I24, $B$1:B24, B25, $A$1:A24, A25-1))</f>
        <v>17762.5</v>
      </c>
      <c r="G25">
        <f t="shared" si="0"/>
        <v>15275</v>
      </c>
      <c r="H25">
        <f>IF(G25 &lt;= E25, VLOOKUP(B25, Logistics_Master!$A$2:$J$4, 7, FALSE) - G25, 0)</f>
        <v>0</v>
      </c>
      <c r="I25">
        <f t="shared" si="1"/>
        <v>15275</v>
      </c>
      <c r="J25" t="str">
        <f>IF(H25=0, "", IF(VLOOKUP(B25, Logistics_Master!$A$2:$J$4, 4, FALSE)="Truck", ROUNDUP(H25/30, 0) &amp; " Trucks", IF(VLOOKUP(B25, Logistics_Master!$A$2:$J$4, 4, FALSE)="Sea Vessel", "Sea Vessel (MR Tanker)", IF(VLOOKUP(B25, Logistics_Master!$A$2:$J$4, 4, FALSE)="Rail", ROUNDUP(H25/1200, 0) &amp; " Block Trains", "Pipeline Batch"))))</f>
        <v/>
      </c>
    </row>
    <row r="26" spans="1:10" x14ac:dyDescent="0.3">
      <c r="A26" s="3">
        <f>Raw_Flight_Data!A26</f>
        <v>45574</v>
      </c>
      <c r="B26" t="str">
        <f>Raw_Flight_Data!B26</f>
        <v>FRA</v>
      </c>
      <c r="C26">
        <f>Raw_Flight_Data!C26</f>
        <v>622</v>
      </c>
      <c r="D26">
        <f>C26 * VLOOKUP(B26, Logistics_Master!$A$2:$J$4, 5, FALSE)</f>
        <v>14928</v>
      </c>
      <c r="E26">
        <f>D26 * VLOOKUP(B26, Logistics_Master!$A$2:$J$4, 6, FALSE)</f>
        <v>59712</v>
      </c>
      <c r="F26">
        <f>IF(A26=MIN(Raw_Flight_Data!$A$2:$A$100), VLOOKUP(B26, Logistics_Master!$A$2:$J$4, 7, FALSE) * 0.8, SUMIFS($I$1:I25, $B$1:B25, B26, $A$1:A25, A26-1))</f>
        <v>81608</v>
      </c>
      <c r="G26">
        <f t="shared" si="0"/>
        <v>66680</v>
      </c>
      <c r="H26">
        <f>IF(G26 &lt;= E26, VLOOKUP(B26, Logistics_Master!$A$2:$J$4, 7, FALSE) - G26, 0)</f>
        <v>0</v>
      </c>
      <c r="I26">
        <f t="shared" si="1"/>
        <v>66680</v>
      </c>
      <c r="J26" t="str">
        <f>IF(H26=0, "", IF(VLOOKUP(B26, Logistics_Master!$A$2:$J$4, 4, FALSE)="Truck", ROUNDUP(H26/30, 0) &amp; " Trucks", IF(VLOOKUP(B26, Logistics_Master!$A$2:$J$4, 4, FALSE)="Sea Vessel", "Sea Vessel (MR Tanker)", IF(VLOOKUP(B26, Logistics_Master!$A$2:$J$4, 4, FALSE)="Rail", ROUNDUP(H26/1200, 0) &amp; " Block Trains", "Pipeline Batch"))))</f>
        <v/>
      </c>
    </row>
    <row r="27" spans="1:10" x14ac:dyDescent="0.3">
      <c r="A27" s="3">
        <f>Raw_Flight_Data!A27</f>
        <v>45574</v>
      </c>
      <c r="B27" t="str">
        <f>Raw_Flight_Data!B27</f>
        <v>DUB</v>
      </c>
      <c r="C27">
        <f>Raw_Flight_Data!C27</f>
        <v>292</v>
      </c>
      <c r="D27">
        <f>C27 * VLOOKUP(B27, Logistics_Master!$A$2:$J$4, 5, FALSE)</f>
        <v>4672</v>
      </c>
      <c r="E27">
        <f>D27 * VLOOKUP(B27, Logistics_Master!$A$2:$J$4, 6, FALSE)</f>
        <v>23360</v>
      </c>
      <c r="F27">
        <f>IF(A27=MIN(Raw_Flight_Data!$A$2:$A$100), VLOOKUP(B27, Logistics_Master!$A$2:$J$4, 7, FALSE) * 0.8, SUMIFS($I$1:I26, $B$1:B26, B27, $A$1:A26, A27-1))</f>
        <v>45000</v>
      </c>
      <c r="G27">
        <f t="shared" si="0"/>
        <v>40328</v>
      </c>
      <c r="H27">
        <f>IF(G27 &lt;= E27, VLOOKUP(B27, Logistics_Master!$A$2:$J$4, 7, FALSE) - G27, 0)</f>
        <v>0</v>
      </c>
      <c r="I27">
        <f t="shared" si="1"/>
        <v>40328</v>
      </c>
      <c r="J27" t="str">
        <f>IF(H27=0, "", IF(VLOOKUP(B27, Logistics_Master!$A$2:$J$4, 4, FALSE)="Truck", ROUNDUP(H27/30, 0) &amp; " Trucks", IF(VLOOKUP(B27, Logistics_Master!$A$2:$J$4, 4, FALSE)="Sea Vessel", "Sea Vessel (MR Tanker)", IF(VLOOKUP(B27, Logistics_Master!$A$2:$J$4, 4, FALSE)="Rail", ROUNDUP(H27/1200, 0) &amp; " Block Trains", "Pipeline Batch"))))</f>
        <v/>
      </c>
    </row>
    <row r="28" spans="1:10" x14ac:dyDescent="0.3">
      <c r="A28" s="3">
        <f>Raw_Flight_Data!A28</f>
        <v>45574</v>
      </c>
      <c r="B28" t="str">
        <f>Raw_Flight_Data!B28</f>
        <v>GVA</v>
      </c>
      <c r="C28">
        <f>Raw_Flight_Data!C28</f>
        <v>203</v>
      </c>
      <c r="D28">
        <f>C28 * VLOOKUP(B28, Logistics_Master!$A$2:$J$4, 5, FALSE)</f>
        <v>2537.5</v>
      </c>
      <c r="E28">
        <f>D28 * VLOOKUP(B28, Logistics_Master!$A$2:$J$4, 6, FALSE)</f>
        <v>15225</v>
      </c>
      <c r="F28">
        <f>IF(A28=MIN(Raw_Flight_Data!$A$2:$A$100), VLOOKUP(B28, Logistics_Master!$A$2:$J$4, 7, FALSE) * 0.8, SUMIFS($I$1:I27, $B$1:B27, B28, $A$1:A27, A28-1))</f>
        <v>15275</v>
      </c>
      <c r="G28">
        <f t="shared" si="0"/>
        <v>12737.5</v>
      </c>
      <c r="H28">
        <f>IF(G28 &lt;= E28, VLOOKUP(B28, Logistics_Master!$A$2:$J$4, 7, FALSE) - G28, 0)</f>
        <v>15262.5</v>
      </c>
      <c r="I28">
        <f t="shared" si="1"/>
        <v>28000</v>
      </c>
      <c r="J28" t="str">
        <f>IF(H28=0, "", IF(VLOOKUP(B28, Logistics_Master!$A$2:$J$4, 4, FALSE)="Truck", ROUNDUP(H28/30, 0) &amp; " Trucks", IF(VLOOKUP(B28, Logistics_Master!$A$2:$J$4, 4, FALSE)="Sea Vessel", "Sea Vessel (MR Tanker)", IF(VLOOKUP(B28, Logistics_Master!$A$2:$J$4, 4, FALSE)="Rail", ROUNDUP(H28/1200, 0) &amp; " Block Trains", "Pipeline Batch"))))</f>
        <v>13 Block Trains</v>
      </c>
    </row>
    <row r="29" spans="1:10" x14ac:dyDescent="0.3">
      <c r="A29" s="3">
        <f>Raw_Flight_Data!A29</f>
        <v>45575</v>
      </c>
      <c r="B29" t="str">
        <f>Raw_Flight_Data!B29</f>
        <v>FRA</v>
      </c>
      <c r="C29">
        <f>Raw_Flight_Data!C29</f>
        <v>635</v>
      </c>
      <c r="D29">
        <f>C29 * VLOOKUP(B29, Logistics_Master!$A$2:$J$4, 5, FALSE)</f>
        <v>15240</v>
      </c>
      <c r="E29">
        <f>D29 * VLOOKUP(B29, Logistics_Master!$A$2:$J$4, 6, FALSE)</f>
        <v>60960</v>
      </c>
      <c r="F29">
        <f>IF(A29=MIN(Raw_Flight_Data!$A$2:$A$100), VLOOKUP(B29, Logistics_Master!$A$2:$J$4, 7, FALSE) * 0.8, SUMIFS($I$1:I28, $B$1:B28, B29, $A$1:A28, A29-1))</f>
        <v>66680</v>
      </c>
      <c r="G29">
        <f t="shared" si="0"/>
        <v>51440</v>
      </c>
      <c r="H29">
        <f>IF(G29 &lt;= E29, VLOOKUP(B29, Logistics_Master!$A$2:$J$4, 7, FALSE) - G29, 0)</f>
        <v>88560</v>
      </c>
      <c r="I29">
        <f t="shared" si="1"/>
        <v>140000</v>
      </c>
      <c r="J29" t="str">
        <f>IF(H29=0, "", IF(VLOOKUP(B29, Logistics_Master!$A$2:$J$4, 4, FALSE)="Truck", ROUNDUP(H29/30, 0) &amp; " Trucks", IF(VLOOKUP(B29, Logistics_Master!$A$2:$J$4, 4, FALSE)="Sea Vessel", "Sea Vessel (MR Tanker)", IF(VLOOKUP(B29, Logistics_Master!$A$2:$J$4, 4, FALSE)="Rail", ROUNDUP(H29/1200, 0) &amp; " Block Trains", "Pipeline Batch"))))</f>
        <v>Pipeline Batch</v>
      </c>
    </row>
    <row r="30" spans="1:10" x14ac:dyDescent="0.3">
      <c r="A30" s="3">
        <f>Raw_Flight_Data!A30</f>
        <v>45575</v>
      </c>
      <c r="B30" t="str">
        <f>Raw_Flight_Data!B30</f>
        <v>DUB</v>
      </c>
      <c r="C30">
        <f>Raw_Flight_Data!C30</f>
        <v>300</v>
      </c>
      <c r="D30">
        <f>C30 * VLOOKUP(B30, Logistics_Master!$A$2:$J$4, 5, FALSE)</f>
        <v>4800</v>
      </c>
      <c r="E30">
        <f>D30 * VLOOKUP(B30, Logistics_Master!$A$2:$J$4, 6, FALSE)</f>
        <v>24000</v>
      </c>
      <c r="F30">
        <f>IF(A30=MIN(Raw_Flight_Data!$A$2:$A$100), VLOOKUP(B30, Logistics_Master!$A$2:$J$4, 7, FALSE) * 0.8, SUMIFS($I$1:I29, $B$1:B29, B30, $A$1:A29, A30-1))</f>
        <v>40328</v>
      </c>
      <c r="G30">
        <f t="shared" si="0"/>
        <v>35528</v>
      </c>
      <c r="H30">
        <f>IF(G30 &lt;= E30, VLOOKUP(B30, Logistics_Master!$A$2:$J$4, 7, FALSE) - G30, 0)</f>
        <v>0</v>
      </c>
      <c r="I30">
        <f t="shared" si="1"/>
        <v>35528</v>
      </c>
      <c r="J30" t="str">
        <f>IF(H30=0, "", IF(VLOOKUP(B30, Logistics_Master!$A$2:$J$4, 4, FALSE)="Truck", ROUNDUP(H30/30, 0) &amp; " Trucks", IF(VLOOKUP(B30, Logistics_Master!$A$2:$J$4, 4, FALSE)="Sea Vessel", "Sea Vessel (MR Tanker)", IF(VLOOKUP(B30, Logistics_Master!$A$2:$J$4, 4, FALSE)="Rail", ROUNDUP(H30/1200, 0) &amp; " Block Trains", "Pipeline Batch"))))</f>
        <v/>
      </c>
    </row>
    <row r="31" spans="1:10" x14ac:dyDescent="0.3">
      <c r="A31" s="3">
        <f>Raw_Flight_Data!A31</f>
        <v>45575</v>
      </c>
      <c r="B31" t="str">
        <f>Raw_Flight_Data!B31</f>
        <v>GVA</v>
      </c>
      <c r="C31">
        <f>Raw_Flight_Data!C31</f>
        <v>212</v>
      </c>
      <c r="D31">
        <f>C31 * VLOOKUP(B31, Logistics_Master!$A$2:$J$4, 5, FALSE)</f>
        <v>2650</v>
      </c>
      <c r="E31">
        <f>D31 * VLOOKUP(B31, Logistics_Master!$A$2:$J$4, 6, FALSE)</f>
        <v>15900</v>
      </c>
      <c r="F31">
        <f>IF(A31=MIN(Raw_Flight_Data!$A$2:$A$100), VLOOKUP(B31, Logistics_Master!$A$2:$J$4, 7, FALSE) * 0.8, SUMIFS($I$1:I30, $B$1:B30, B31, $A$1:A30, A31-1))</f>
        <v>28000</v>
      </c>
      <c r="G31">
        <f t="shared" si="0"/>
        <v>25350</v>
      </c>
      <c r="H31">
        <f>IF(G31 &lt;= E31, VLOOKUP(B31, Logistics_Master!$A$2:$J$4, 7, FALSE) - G31, 0)</f>
        <v>0</v>
      </c>
      <c r="I31">
        <f t="shared" si="1"/>
        <v>25350</v>
      </c>
      <c r="J31" t="str">
        <f>IF(H31=0, "", IF(VLOOKUP(B31, Logistics_Master!$A$2:$J$4, 4, FALSE)="Truck", ROUNDUP(H31/30, 0) &amp; " Trucks", IF(VLOOKUP(B31, Logistics_Master!$A$2:$J$4, 4, FALSE)="Sea Vessel", "Sea Vessel (MR Tanker)", IF(VLOOKUP(B31, Logistics_Master!$A$2:$J$4, 4, FALSE)="Rail", ROUNDUP(H31/1200, 0) &amp; " Block Trains", "Pipeline Batch"))))</f>
        <v/>
      </c>
    </row>
    <row r="32" spans="1:10" x14ac:dyDescent="0.3">
      <c r="A32" s="3">
        <f>Raw_Flight_Data!A32</f>
        <v>45576</v>
      </c>
      <c r="B32" t="str">
        <f>Raw_Flight_Data!B32</f>
        <v>FRA</v>
      </c>
      <c r="C32">
        <f>Raw_Flight_Data!C32</f>
        <v>652</v>
      </c>
      <c r="D32">
        <f>C32 * VLOOKUP(B32, Logistics_Master!$A$2:$J$4, 5, FALSE)</f>
        <v>15648</v>
      </c>
      <c r="E32">
        <f>D32 * VLOOKUP(B32, Logistics_Master!$A$2:$J$4, 6, FALSE)</f>
        <v>62592</v>
      </c>
      <c r="F32">
        <f>IF(A32=MIN(Raw_Flight_Data!$A$2:$A$100), VLOOKUP(B32, Logistics_Master!$A$2:$J$4, 7, FALSE) * 0.8, SUMIFS($I$1:I31, $B$1:B31, B32, $A$1:A31, A32-1))</f>
        <v>140000</v>
      </c>
      <c r="G32">
        <f t="shared" si="0"/>
        <v>124352</v>
      </c>
      <c r="H32">
        <f>IF(G32 &lt;= E32, VLOOKUP(B32, Logistics_Master!$A$2:$J$4, 7, FALSE) - G32, 0)</f>
        <v>0</v>
      </c>
      <c r="I32">
        <f t="shared" si="1"/>
        <v>124352</v>
      </c>
      <c r="J32" t="str">
        <f>IF(H32=0, "", IF(VLOOKUP(B32, Logistics_Master!$A$2:$J$4, 4, FALSE)="Truck", ROUNDUP(H32/30, 0) &amp; " Trucks", IF(VLOOKUP(B32, Logistics_Master!$A$2:$J$4, 4, FALSE)="Sea Vessel", "Sea Vessel (MR Tanker)", IF(VLOOKUP(B32, Logistics_Master!$A$2:$J$4, 4, FALSE)="Rail", ROUNDUP(H32/1200, 0) &amp; " Block Trains", "Pipeline Batch"))))</f>
        <v/>
      </c>
    </row>
    <row r="33" spans="1:10" x14ac:dyDescent="0.3">
      <c r="A33" s="3">
        <f>Raw_Flight_Data!A33</f>
        <v>45576</v>
      </c>
      <c r="B33" t="str">
        <f>Raw_Flight_Data!B33</f>
        <v>DUB</v>
      </c>
      <c r="C33">
        <f>Raw_Flight_Data!C33</f>
        <v>315</v>
      </c>
      <c r="D33">
        <f>C33 * VLOOKUP(B33, Logistics_Master!$A$2:$J$4, 5, FALSE)</f>
        <v>5040</v>
      </c>
      <c r="E33">
        <f>D33 * VLOOKUP(B33, Logistics_Master!$A$2:$J$4, 6, FALSE)</f>
        <v>25200</v>
      </c>
      <c r="F33">
        <f>IF(A33=MIN(Raw_Flight_Data!$A$2:$A$100), VLOOKUP(B33, Logistics_Master!$A$2:$J$4, 7, FALSE) * 0.8, SUMIFS($I$1:I32, $B$1:B32, B33, $A$1:A32, A33-1))</f>
        <v>35528</v>
      </c>
      <c r="G33">
        <f t="shared" si="0"/>
        <v>30488</v>
      </c>
      <c r="H33">
        <f>IF(G33 &lt;= E33, VLOOKUP(B33, Logistics_Master!$A$2:$J$4, 7, FALSE) - G33, 0)</f>
        <v>0</v>
      </c>
      <c r="I33">
        <f t="shared" si="1"/>
        <v>30488</v>
      </c>
      <c r="J33" t="str">
        <f>IF(H33=0, "", IF(VLOOKUP(B33, Logistics_Master!$A$2:$J$4, 4, FALSE)="Truck", ROUNDUP(H33/30, 0) &amp; " Trucks", IF(VLOOKUP(B33, Logistics_Master!$A$2:$J$4, 4, FALSE)="Sea Vessel", "Sea Vessel (MR Tanker)", IF(VLOOKUP(B33, Logistics_Master!$A$2:$J$4, 4, FALSE)="Rail", ROUNDUP(H33/1200, 0) &amp; " Block Trains", "Pipeline Batch"))))</f>
        <v/>
      </c>
    </row>
    <row r="34" spans="1:10" x14ac:dyDescent="0.3">
      <c r="A34" s="3">
        <f>Raw_Flight_Data!A34</f>
        <v>45576</v>
      </c>
      <c r="B34" t="str">
        <f>Raw_Flight_Data!B34</f>
        <v>GVA</v>
      </c>
      <c r="C34">
        <f>Raw_Flight_Data!C34</f>
        <v>226</v>
      </c>
      <c r="D34">
        <f>C34 * VLOOKUP(B34, Logistics_Master!$A$2:$J$4, 5, FALSE)</f>
        <v>2825</v>
      </c>
      <c r="E34">
        <f>D34 * VLOOKUP(B34, Logistics_Master!$A$2:$J$4, 6, FALSE)</f>
        <v>16950</v>
      </c>
      <c r="F34">
        <f>IF(A34=MIN(Raw_Flight_Data!$A$2:$A$100), VLOOKUP(B34, Logistics_Master!$A$2:$J$4, 7, FALSE) * 0.8, SUMIFS($I$1:I33, $B$1:B33, B34, $A$1:A33, A34-1))</f>
        <v>25350</v>
      </c>
      <c r="G34">
        <f t="shared" si="0"/>
        <v>22525</v>
      </c>
      <c r="H34">
        <f>IF(G34 &lt;= E34, VLOOKUP(B34, Logistics_Master!$A$2:$J$4, 7, FALSE) - G34, 0)</f>
        <v>0</v>
      </c>
      <c r="I34">
        <f t="shared" si="1"/>
        <v>22525</v>
      </c>
      <c r="J34" t="str">
        <f>IF(H34=0, "", IF(VLOOKUP(B34, Logistics_Master!$A$2:$J$4, 4, FALSE)="Truck", ROUNDUP(H34/30, 0) &amp; " Trucks", IF(VLOOKUP(B34, Logistics_Master!$A$2:$J$4, 4, FALSE)="Sea Vessel", "Sea Vessel (MR Tanker)", IF(VLOOKUP(B34, Logistics_Master!$A$2:$J$4, 4, FALSE)="Rail", ROUNDUP(H34/1200, 0) &amp; " Block Trains", "Pipeline Batch"))))</f>
        <v/>
      </c>
    </row>
    <row r="35" spans="1:10" x14ac:dyDescent="0.3">
      <c r="A35" s="3">
        <f>Raw_Flight_Data!A35</f>
        <v>45577</v>
      </c>
      <c r="B35" t="str">
        <f>Raw_Flight_Data!B35</f>
        <v>FRA</v>
      </c>
      <c r="C35">
        <f>Raw_Flight_Data!C35</f>
        <v>580</v>
      </c>
      <c r="D35">
        <f>C35 * VLOOKUP(B35, Logistics_Master!$A$2:$J$4, 5, FALSE)</f>
        <v>13920</v>
      </c>
      <c r="E35">
        <f>D35 * VLOOKUP(B35, Logistics_Master!$A$2:$J$4, 6, FALSE)</f>
        <v>55680</v>
      </c>
      <c r="F35">
        <f>IF(A35=MIN(Raw_Flight_Data!$A$2:$A$100), VLOOKUP(B35, Logistics_Master!$A$2:$J$4, 7, FALSE) * 0.8, SUMIFS($I$1:I34, $B$1:B34, B35, $A$1:A34, A35-1))</f>
        <v>124352</v>
      </c>
      <c r="G35">
        <f t="shared" si="0"/>
        <v>110432</v>
      </c>
      <c r="H35">
        <f>IF(G35 &lt;= E35, VLOOKUP(B35, Logistics_Master!$A$2:$J$4, 7, FALSE) - G35, 0)</f>
        <v>0</v>
      </c>
      <c r="I35">
        <f t="shared" si="1"/>
        <v>110432</v>
      </c>
      <c r="J35" t="str">
        <f>IF(H35=0, "", IF(VLOOKUP(B35, Logistics_Master!$A$2:$J$4, 4, FALSE)="Truck", ROUNDUP(H35/30, 0) &amp; " Trucks", IF(VLOOKUP(B35, Logistics_Master!$A$2:$J$4, 4, FALSE)="Sea Vessel", "Sea Vessel (MR Tanker)", IF(VLOOKUP(B35, Logistics_Master!$A$2:$J$4, 4, FALSE)="Rail", ROUNDUP(H35/1200, 0) &amp; " Block Trains", "Pipeline Batch"))))</f>
        <v/>
      </c>
    </row>
    <row r="36" spans="1:10" x14ac:dyDescent="0.3">
      <c r="A36" s="3">
        <f>Raw_Flight_Data!A36</f>
        <v>45577</v>
      </c>
      <c r="B36" t="str">
        <f>Raw_Flight_Data!B36</f>
        <v>DUB</v>
      </c>
      <c r="C36">
        <f>Raw_Flight_Data!C36</f>
        <v>268</v>
      </c>
      <c r="D36">
        <f>C36 * VLOOKUP(B36, Logistics_Master!$A$2:$J$4, 5, FALSE)</f>
        <v>4288</v>
      </c>
      <c r="E36">
        <f>D36 * VLOOKUP(B36, Logistics_Master!$A$2:$J$4, 6, FALSE)</f>
        <v>21440</v>
      </c>
      <c r="F36">
        <f>IF(A36=MIN(Raw_Flight_Data!$A$2:$A$100), VLOOKUP(B36, Logistics_Master!$A$2:$J$4, 7, FALSE) * 0.8, SUMIFS($I$1:I35, $B$1:B35, B36, $A$1:A35, A36-1))</f>
        <v>30488</v>
      </c>
      <c r="G36">
        <f t="shared" si="0"/>
        <v>26200</v>
      </c>
      <c r="H36">
        <f>IF(G36 &lt;= E36, VLOOKUP(B36, Logistics_Master!$A$2:$J$4, 7, FALSE) - G36, 0)</f>
        <v>0</v>
      </c>
      <c r="I36">
        <f t="shared" si="1"/>
        <v>26200</v>
      </c>
      <c r="J36" t="str">
        <f>IF(H36=0, "", IF(VLOOKUP(B36, Logistics_Master!$A$2:$J$4, 4, FALSE)="Truck", ROUNDUP(H36/30, 0) &amp; " Trucks", IF(VLOOKUP(B36, Logistics_Master!$A$2:$J$4, 4, FALSE)="Sea Vessel", "Sea Vessel (MR Tanker)", IF(VLOOKUP(B36, Logistics_Master!$A$2:$J$4, 4, FALSE)="Rail", ROUNDUP(H36/1200, 0) &amp; " Block Trains", "Pipeline Batch"))))</f>
        <v/>
      </c>
    </row>
    <row r="37" spans="1:10" x14ac:dyDescent="0.3">
      <c r="A37" s="3">
        <f>Raw_Flight_Data!A37</f>
        <v>45577</v>
      </c>
      <c r="B37" t="str">
        <f>Raw_Flight_Data!B37</f>
        <v>GVA</v>
      </c>
      <c r="C37">
        <f>Raw_Flight_Data!C37</f>
        <v>188</v>
      </c>
      <c r="D37">
        <f>C37 * VLOOKUP(B37, Logistics_Master!$A$2:$J$4, 5, FALSE)</f>
        <v>2350</v>
      </c>
      <c r="E37">
        <f>D37 * VLOOKUP(B37, Logistics_Master!$A$2:$J$4, 6, FALSE)</f>
        <v>14100</v>
      </c>
      <c r="F37">
        <f>IF(A37=MIN(Raw_Flight_Data!$A$2:$A$100), VLOOKUP(B37, Logistics_Master!$A$2:$J$4, 7, FALSE) * 0.8, SUMIFS($I$1:I36, $B$1:B36, B37, $A$1:A36, A37-1))</f>
        <v>22525</v>
      </c>
      <c r="G37">
        <f t="shared" si="0"/>
        <v>20175</v>
      </c>
      <c r="H37">
        <f>IF(G37 &lt;= E37, VLOOKUP(B37, Logistics_Master!$A$2:$J$4, 7, FALSE) - G37, 0)</f>
        <v>0</v>
      </c>
      <c r="I37">
        <f t="shared" si="1"/>
        <v>20175</v>
      </c>
      <c r="J37" t="str">
        <f>IF(H37=0, "", IF(VLOOKUP(B37, Logistics_Master!$A$2:$J$4, 4, FALSE)="Truck", ROUNDUP(H37/30, 0) &amp; " Trucks", IF(VLOOKUP(B37, Logistics_Master!$A$2:$J$4, 4, FALSE)="Sea Vessel", "Sea Vessel (MR Tanker)", IF(VLOOKUP(B37, Logistics_Master!$A$2:$J$4, 4, FALSE)="Rail", ROUNDUP(H37/1200, 0) &amp; " Block Trains", "Pipeline Batch"))))</f>
        <v/>
      </c>
    </row>
    <row r="38" spans="1:10" x14ac:dyDescent="0.3">
      <c r="A38" s="3">
        <f>Raw_Flight_Data!A38</f>
        <v>45578</v>
      </c>
      <c r="B38" t="str">
        <f>Raw_Flight_Data!B38</f>
        <v>FRA</v>
      </c>
      <c r="C38">
        <f>Raw_Flight_Data!C38</f>
        <v>634</v>
      </c>
      <c r="D38">
        <f>C38 * VLOOKUP(B38, Logistics_Master!$A$2:$J$4, 5, FALSE)</f>
        <v>15216</v>
      </c>
      <c r="E38">
        <f>D38 * VLOOKUP(B38, Logistics_Master!$A$2:$J$4, 6, FALSE)</f>
        <v>60864</v>
      </c>
      <c r="F38">
        <f>IF(A38=MIN(Raw_Flight_Data!$A$2:$A$100), VLOOKUP(B38, Logistics_Master!$A$2:$J$4, 7, FALSE) * 0.8, SUMIFS($I$1:I37, $B$1:B37, B38, $A$1:A37, A38-1))</f>
        <v>110432</v>
      </c>
      <c r="G38">
        <f t="shared" si="0"/>
        <v>95216</v>
      </c>
      <c r="H38">
        <f>IF(G38 &lt;= E38, VLOOKUP(B38, Logistics_Master!$A$2:$J$4, 7, FALSE) - G38, 0)</f>
        <v>0</v>
      </c>
      <c r="I38">
        <f t="shared" si="1"/>
        <v>95216</v>
      </c>
      <c r="J38" t="str">
        <f>IF(H38=0, "", IF(VLOOKUP(B38, Logistics_Master!$A$2:$J$4, 4, FALSE)="Truck", ROUNDUP(H38/30, 0) &amp; " Trucks", IF(VLOOKUP(B38, Logistics_Master!$A$2:$J$4, 4, FALSE)="Sea Vessel", "Sea Vessel (MR Tanker)", IF(VLOOKUP(B38, Logistics_Master!$A$2:$J$4, 4, FALSE)="Rail", ROUNDUP(H38/1200, 0) &amp; " Block Trains", "Pipeline Batch"))))</f>
        <v/>
      </c>
    </row>
    <row r="39" spans="1:10" x14ac:dyDescent="0.3">
      <c r="A39" s="3">
        <f>Raw_Flight_Data!A39</f>
        <v>45578</v>
      </c>
      <c r="B39" t="str">
        <f>Raw_Flight_Data!B39</f>
        <v>DUB</v>
      </c>
      <c r="C39">
        <f>Raw_Flight_Data!C39</f>
        <v>308</v>
      </c>
      <c r="D39">
        <f>C39 * VLOOKUP(B39, Logistics_Master!$A$2:$J$4, 5, FALSE)</f>
        <v>4928</v>
      </c>
      <c r="E39">
        <f>D39 * VLOOKUP(B39, Logistics_Master!$A$2:$J$4, 6, FALSE)</f>
        <v>24640</v>
      </c>
      <c r="F39">
        <f>IF(A39=MIN(Raw_Flight_Data!$A$2:$A$100), VLOOKUP(B39, Logistics_Master!$A$2:$J$4, 7, FALSE) * 0.8, SUMIFS($I$1:I38, $B$1:B38, B39, $A$1:A38, A39-1))</f>
        <v>26200</v>
      </c>
      <c r="G39">
        <f t="shared" si="0"/>
        <v>21272</v>
      </c>
      <c r="H39">
        <f>IF(G39 &lt;= E39, VLOOKUP(B39, Logistics_Master!$A$2:$J$4, 7, FALSE) - G39, 0)</f>
        <v>23728</v>
      </c>
      <c r="I39">
        <f t="shared" si="1"/>
        <v>45000</v>
      </c>
      <c r="J39" t="str">
        <f>IF(H39=0, "", IF(VLOOKUP(B39, Logistics_Master!$A$2:$J$4, 4, FALSE)="Truck", ROUNDUP(H39/30, 0) &amp; " Trucks", IF(VLOOKUP(B39, Logistics_Master!$A$2:$J$4, 4, FALSE)="Sea Vessel", "Sea Vessel (MR Tanker)", IF(VLOOKUP(B39, Logistics_Master!$A$2:$J$4, 4, FALSE)="Rail", ROUNDUP(H39/1200, 0) &amp; " Block Trains", "Pipeline Batch"))))</f>
        <v>Sea Vessel (MR Tanker)</v>
      </c>
    </row>
    <row r="40" spans="1:10" x14ac:dyDescent="0.3">
      <c r="A40" s="3">
        <f>Raw_Flight_Data!A40</f>
        <v>45578</v>
      </c>
      <c r="B40" t="str">
        <f>Raw_Flight_Data!B40</f>
        <v>GVA</v>
      </c>
      <c r="C40">
        <f>Raw_Flight_Data!C40</f>
        <v>218</v>
      </c>
      <c r="D40">
        <f>C40 * VLOOKUP(B40, Logistics_Master!$A$2:$J$4, 5, FALSE)</f>
        <v>2725</v>
      </c>
      <c r="E40">
        <f>D40 * VLOOKUP(B40, Logistics_Master!$A$2:$J$4, 6, FALSE)</f>
        <v>16350</v>
      </c>
      <c r="F40">
        <f>IF(A40=MIN(Raw_Flight_Data!$A$2:$A$100), VLOOKUP(B40, Logistics_Master!$A$2:$J$4, 7, FALSE) * 0.8, SUMIFS($I$1:I39, $B$1:B39, B40, $A$1:A39, A40-1))</f>
        <v>20175</v>
      </c>
      <c r="G40">
        <f t="shared" si="0"/>
        <v>17450</v>
      </c>
      <c r="H40">
        <f>IF(G40 &lt;= E40, VLOOKUP(B40, Logistics_Master!$A$2:$J$4, 7, FALSE) - G40, 0)</f>
        <v>0</v>
      </c>
      <c r="I40">
        <f t="shared" si="1"/>
        <v>17450</v>
      </c>
      <c r="J40" t="str">
        <f>IF(H40=0, "", IF(VLOOKUP(B40, Logistics_Master!$A$2:$J$4, 4, FALSE)="Truck", ROUNDUP(H40/30, 0) &amp; " Trucks", IF(VLOOKUP(B40, Logistics_Master!$A$2:$J$4, 4, FALSE)="Sea Vessel", "Sea Vessel (MR Tanker)", IF(VLOOKUP(B40, Logistics_Master!$A$2:$J$4, 4, FALSE)="Rail", ROUNDUP(H40/1200, 0) &amp; " Block Trains", "Pipeline Batch"))))</f>
        <v/>
      </c>
    </row>
    <row r="41" spans="1:10" x14ac:dyDescent="0.3">
      <c r="A41" s="3">
        <f>Raw_Flight_Data!A41</f>
        <v>45579</v>
      </c>
      <c r="B41" t="str">
        <f>Raw_Flight_Data!B41</f>
        <v>FRA</v>
      </c>
      <c r="C41">
        <f>Raw_Flight_Data!C41</f>
        <v>612</v>
      </c>
      <c r="D41">
        <f>C41 * VLOOKUP(B41, Logistics_Master!$A$2:$J$4, 5, FALSE)</f>
        <v>14688</v>
      </c>
      <c r="E41">
        <f>D41 * VLOOKUP(B41, Logistics_Master!$A$2:$J$4, 6, FALSE)</f>
        <v>58752</v>
      </c>
      <c r="F41">
        <f>IF(A41=MIN(Raw_Flight_Data!$A$2:$A$100), VLOOKUP(B41, Logistics_Master!$A$2:$J$4, 7, FALSE) * 0.8, SUMIFS($I$1:I40, $B$1:B40, B41, $A$1:A40, A41-1))</f>
        <v>95216</v>
      </c>
      <c r="G41">
        <f t="shared" si="0"/>
        <v>80528</v>
      </c>
      <c r="H41">
        <f>IF(G41 &lt;= E41, VLOOKUP(B41, Logistics_Master!$A$2:$J$4, 7, FALSE) - G41, 0)</f>
        <v>0</v>
      </c>
      <c r="I41">
        <f t="shared" si="1"/>
        <v>80528</v>
      </c>
      <c r="J41" t="str">
        <f>IF(H41=0, "", IF(VLOOKUP(B41, Logistics_Master!$A$2:$J$4, 4, FALSE)="Truck", ROUNDUP(H41/30, 0) &amp; " Trucks", IF(VLOOKUP(B41, Logistics_Master!$A$2:$J$4, 4, FALSE)="Sea Vessel", "Sea Vessel (MR Tanker)", IF(VLOOKUP(B41, Logistics_Master!$A$2:$J$4, 4, FALSE)="Rail", ROUNDUP(H41/1200, 0) &amp; " Block Trains", "Pipeline Batch"))))</f>
        <v/>
      </c>
    </row>
    <row r="42" spans="1:10" x14ac:dyDescent="0.3">
      <c r="A42" s="3">
        <f>Raw_Flight_Data!A42</f>
        <v>45579</v>
      </c>
      <c r="B42" t="str">
        <f>Raw_Flight_Data!B42</f>
        <v>DUB</v>
      </c>
      <c r="C42">
        <f>Raw_Flight_Data!C42</f>
        <v>284</v>
      </c>
      <c r="D42">
        <f>C42 * VLOOKUP(B42, Logistics_Master!$A$2:$J$4, 5, FALSE)</f>
        <v>4544</v>
      </c>
      <c r="E42">
        <f>D42 * VLOOKUP(B42, Logistics_Master!$A$2:$J$4, 6, FALSE)</f>
        <v>22720</v>
      </c>
      <c r="F42">
        <f>IF(A42=MIN(Raw_Flight_Data!$A$2:$A$100), VLOOKUP(B42, Logistics_Master!$A$2:$J$4, 7, FALSE) * 0.8, SUMIFS($I$1:I41, $B$1:B41, B42, $A$1:A41, A42-1))</f>
        <v>45000</v>
      </c>
      <c r="G42">
        <f t="shared" si="0"/>
        <v>40456</v>
      </c>
      <c r="H42">
        <f>IF(G42 &lt;= E42, VLOOKUP(B42, Logistics_Master!$A$2:$J$4, 7, FALSE) - G42, 0)</f>
        <v>0</v>
      </c>
      <c r="I42">
        <f t="shared" si="1"/>
        <v>40456</v>
      </c>
      <c r="J42" t="str">
        <f>IF(H42=0, "", IF(VLOOKUP(B42, Logistics_Master!$A$2:$J$4, 4, FALSE)="Truck", ROUNDUP(H42/30, 0) &amp; " Trucks", IF(VLOOKUP(B42, Logistics_Master!$A$2:$J$4, 4, FALSE)="Sea Vessel", "Sea Vessel (MR Tanker)", IF(VLOOKUP(B42, Logistics_Master!$A$2:$J$4, 4, FALSE)="Rail", ROUNDUP(H42/1200, 0) &amp; " Block Trains", "Pipeline Batch"))))</f>
        <v/>
      </c>
    </row>
    <row r="43" spans="1:10" x14ac:dyDescent="0.3">
      <c r="A43" s="3">
        <f>Raw_Flight_Data!A43</f>
        <v>45579</v>
      </c>
      <c r="B43" t="str">
        <f>Raw_Flight_Data!B43</f>
        <v>GVA</v>
      </c>
      <c r="C43">
        <f>Raw_Flight_Data!C43</f>
        <v>196</v>
      </c>
      <c r="D43">
        <f>C43 * VLOOKUP(B43, Logistics_Master!$A$2:$J$4, 5, FALSE)</f>
        <v>2450</v>
      </c>
      <c r="E43">
        <f>D43 * VLOOKUP(B43, Logistics_Master!$A$2:$J$4, 6, FALSE)</f>
        <v>14700</v>
      </c>
      <c r="F43">
        <f>IF(A43=MIN(Raw_Flight_Data!$A$2:$A$100), VLOOKUP(B43, Logistics_Master!$A$2:$J$4, 7, FALSE) * 0.8, SUMIFS($I$1:I42, $B$1:B42, B43, $A$1:A42, A43-1))</f>
        <v>17450</v>
      </c>
      <c r="G43">
        <f t="shared" si="0"/>
        <v>15000</v>
      </c>
      <c r="H43">
        <f>IF(G43 &lt;= E43, VLOOKUP(B43, Logistics_Master!$A$2:$J$4, 7, FALSE) - G43, 0)</f>
        <v>0</v>
      </c>
      <c r="I43">
        <f t="shared" si="1"/>
        <v>15000</v>
      </c>
      <c r="J43" t="str">
        <f>IF(H43=0, "", IF(VLOOKUP(B43, Logistics_Master!$A$2:$J$4, 4, FALSE)="Truck", ROUNDUP(H43/30, 0) &amp; " Trucks", IF(VLOOKUP(B43, Logistics_Master!$A$2:$J$4, 4, FALSE)="Sea Vessel", "Sea Vessel (MR Tanker)", IF(VLOOKUP(B43, Logistics_Master!$A$2:$J$4, 4, FALSE)="Rail", ROUNDUP(H43/1200, 0) &amp; " Block Trains", "Pipeline Batch"))))</f>
        <v/>
      </c>
    </row>
    <row r="44" spans="1:10" x14ac:dyDescent="0.3">
      <c r="A44" s="3">
        <f>Raw_Flight_Data!A44</f>
        <v>45580</v>
      </c>
      <c r="B44" t="str">
        <f>Raw_Flight_Data!B44</f>
        <v>FRA</v>
      </c>
      <c r="C44">
        <f>Raw_Flight_Data!C44</f>
        <v>616</v>
      </c>
      <c r="D44">
        <f>C44 * VLOOKUP(B44, Logistics_Master!$A$2:$J$4, 5, FALSE)</f>
        <v>14784</v>
      </c>
      <c r="E44">
        <f>D44 * VLOOKUP(B44, Logistics_Master!$A$2:$J$4, 6, FALSE)</f>
        <v>59136</v>
      </c>
      <c r="F44">
        <f>IF(A44=MIN(Raw_Flight_Data!$A$2:$A$100), VLOOKUP(B44, Logistics_Master!$A$2:$J$4, 7, FALSE) * 0.8, SUMIFS($I$1:I43, $B$1:B43, B44, $A$1:A43, A44-1))</f>
        <v>80528</v>
      </c>
      <c r="G44">
        <f t="shared" si="0"/>
        <v>65744</v>
      </c>
      <c r="H44">
        <f>IF(G44 &lt;= E44, VLOOKUP(B44, Logistics_Master!$A$2:$J$4, 7, FALSE) - G44, 0)</f>
        <v>0</v>
      </c>
      <c r="I44">
        <f t="shared" si="1"/>
        <v>65744</v>
      </c>
      <c r="J44" t="str">
        <f>IF(H44=0, "", IF(VLOOKUP(B44, Logistics_Master!$A$2:$J$4, 4, FALSE)="Truck", ROUNDUP(H44/30, 0) &amp; " Trucks", IF(VLOOKUP(B44, Logistics_Master!$A$2:$J$4, 4, FALSE)="Sea Vessel", "Sea Vessel (MR Tanker)", IF(VLOOKUP(B44, Logistics_Master!$A$2:$J$4, 4, FALSE)="Rail", ROUNDUP(H44/1200, 0) &amp; " Block Trains", "Pipeline Batch"))))</f>
        <v/>
      </c>
    </row>
    <row r="45" spans="1:10" x14ac:dyDescent="0.3">
      <c r="A45" s="3">
        <f>Raw_Flight_Data!A45</f>
        <v>45580</v>
      </c>
      <c r="B45" t="str">
        <f>Raw_Flight_Data!B45</f>
        <v>DUB</v>
      </c>
      <c r="C45">
        <f>Raw_Flight_Data!C45</f>
        <v>286</v>
      </c>
      <c r="D45">
        <f>C45 * VLOOKUP(B45, Logistics_Master!$A$2:$J$4, 5, FALSE)</f>
        <v>4576</v>
      </c>
      <c r="E45">
        <f>D45 * VLOOKUP(B45, Logistics_Master!$A$2:$J$4, 6, FALSE)</f>
        <v>22880</v>
      </c>
      <c r="F45">
        <f>IF(A45=MIN(Raw_Flight_Data!$A$2:$A$100), VLOOKUP(B45, Logistics_Master!$A$2:$J$4, 7, FALSE) * 0.8, SUMIFS($I$1:I44, $B$1:B44, B45, $A$1:A44, A45-1))</f>
        <v>40456</v>
      </c>
      <c r="G45">
        <f t="shared" si="0"/>
        <v>35880</v>
      </c>
      <c r="H45">
        <f>IF(G45 &lt;= E45, VLOOKUP(B45, Logistics_Master!$A$2:$J$4, 7, FALSE) - G45, 0)</f>
        <v>0</v>
      </c>
      <c r="I45">
        <f t="shared" si="1"/>
        <v>35880</v>
      </c>
      <c r="J45" t="str">
        <f>IF(H45=0, "", IF(VLOOKUP(B45, Logistics_Master!$A$2:$J$4, 4, FALSE)="Truck", ROUNDUP(H45/30, 0) &amp; " Trucks", IF(VLOOKUP(B45, Logistics_Master!$A$2:$J$4, 4, FALSE)="Sea Vessel", "Sea Vessel (MR Tanker)", IF(VLOOKUP(B45, Logistics_Master!$A$2:$J$4, 4, FALSE)="Rail", ROUNDUP(H45/1200, 0) &amp; " Block Trains", "Pipeline Batch"))))</f>
        <v/>
      </c>
    </row>
    <row r="46" spans="1:10" x14ac:dyDescent="0.3">
      <c r="A46" s="3">
        <f>Raw_Flight_Data!A46</f>
        <v>45580</v>
      </c>
      <c r="B46" t="str">
        <f>Raw_Flight_Data!B46</f>
        <v>GVA</v>
      </c>
      <c r="C46">
        <f>Raw_Flight_Data!C46</f>
        <v>200</v>
      </c>
      <c r="D46">
        <f>C46 * VLOOKUP(B46, Logistics_Master!$A$2:$J$4, 5, FALSE)</f>
        <v>2500</v>
      </c>
      <c r="E46">
        <f>D46 * VLOOKUP(B46, Logistics_Master!$A$2:$J$4, 6, FALSE)</f>
        <v>15000</v>
      </c>
      <c r="F46">
        <f>IF(A46=MIN(Raw_Flight_Data!$A$2:$A$100), VLOOKUP(B46, Logistics_Master!$A$2:$J$4, 7, FALSE) * 0.8, SUMIFS($I$1:I45, $B$1:B45, B46, $A$1:A45, A46-1))</f>
        <v>15000</v>
      </c>
      <c r="G46">
        <f t="shared" si="0"/>
        <v>12500</v>
      </c>
      <c r="H46">
        <f>IF(G46 &lt;= E46, VLOOKUP(B46, Logistics_Master!$A$2:$J$4, 7, FALSE) - G46, 0)</f>
        <v>15500</v>
      </c>
      <c r="I46">
        <f t="shared" si="1"/>
        <v>28000</v>
      </c>
      <c r="J46" t="str">
        <f>IF(H46=0, "", IF(VLOOKUP(B46, Logistics_Master!$A$2:$J$4, 4, FALSE)="Truck", ROUNDUP(H46/30, 0) &amp; " Trucks", IF(VLOOKUP(B46, Logistics_Master!$A$2:$J$4, 4, FALSE)="Sea Vessel", "Sea Vessel (MR Tanker)", IF(VLOOKUP(B46, Logistics_Master!$A$2:$J$4, 4, FALSE)="Rail", ROUNDUP(H46/1200, 0) &amp; " Block Trains", "Pipeline Batch"))))</f>
        <v>13 Block Trains</v>
      </c>
    </row>
    <row r="47" spans="1:10" x14ac:dyDescent="0.3">
      <c r="A47" s="3">
        <f>Raw_Flight_Data!A47</f>
        <v>45581</v>
      </c>
      <c r="B47" t="str">
        <f>Raw_Flight_Data!B47</f>
        <v>FRA</v>
      </c>
      <c r="C47">
        <f>Raw_Flight_Data!C47</f>
        <v>624</v>
      </c>
      <c r="D47">
        <f>C47 * VLOOKUP(B47, Logistics_Master!$A$2:$J$4, 5, FALSE)</f>
        <v>14976</v>
      </c>
      <c r="E47">
        <f>D47 * VLOOKUP(B47, Logistics_Master!$A$2:$J$4, 6, FALSE)</f>
        <v>59904</v>
      </c>
      <c r="F47">
        <f>IF(A47=MIN(Raw_Flight_Data!$A$2:$A$100), VLOOKUP(B47, Logistics_Master!$A$2:$J$4, 7, FALSE) * 0.8, SUMIFS($I$1:I46, $B$1:B46, B47, $A$1:A46, A47-1))</f>
        <v>65744</v>
      </c>
      <c r="G47">
        <f t="shared" si="0"/>
        <v>50768</v>
      </c>
      <c r="H47">
        <f>IF(G47 &lt;= E47, VLOOKUP(B47, Logistics_Master!$A$2:$J$4, 7, FALSE) - G47, 0)</f>
        <v>89232</v>
      </c>
      <c r="I47">
        <f t="shared" si="1"/>
        <v>140000</v>
      </c>
      <c r="J47" t="str">
        <f>IF(H47=0, "", IF(VLOOKUP(B47, Logistics_Master!$A$2:$J$4, 4, FALSE)="Truck", ROUNDUP(H47/30, 0) &amp; " Trucks", IF(VLOOKUP(B47, Logistics_Master!$A$2:$J$4, 4, FALSE)="Sea Vessel", "Sea Vessel (MR Tanker)", IF(VLOOKUP(B47, Logistics_Master!$A$2:$J$4, 4, FALSE)="Rail", ROUNDUP(H47/1200, 0) &amp; " Block Trains", "Pipeline Batch"))))</f>
        <v>Pipeline Batch</v>
      </c>
    </row>
    <row r="48" spans="1:10" x14ac:dyDescent="0.3">
      <c r="A48" s="3">
        <f>Raw_Flight_Data!A48</f>
        <v>45581</v>
      </c>
      <c r="B48" t="str">
        <f>Raw_Flight_Data!B48</f>
        <v>DUB</v>
      </c>
      <c r="C48">
        <f>Raw_Flight_Data!C48</f>
        <v>294</v>
      </c>
      <c r="D48">
        <f>C48 * VLOOKUP(B48, Logistics_Master!$A$2:$J$4, 5, FALSE)</f>
        <v>4704</v>
      </c>
      <c r="E48">
        <f>D48 * VLOOKUP(B48, Logistics_Master!$A$2:$J$4, 6, FALSE)</f>
        <v>23520</v>
      </c>
      <c r="F48">
        <f>IF(A48=MIN(Raw_Flight_Data!$A$2:$A$100), VLOOKUP(B48, Logistics_Master!$A$2:$J$4, 7, FALSE) * 0.8, SUMIFS($I$1:I47, $B$1:B47, B48, $A$1:A47, A48-1))</f>
        <v>35880</v>
      </c>
      <c r="G48">
        <f t="shared" si="0"/>
        <v>31176</v>
      </c>
      <c r="H48">
        <f>IF(G48 &lt;= E48, VLOOKUP(B48, Logistics_Master!$A$2:$J$4, 7, FALSE) - G48, 0)</f>
        <v>0</v>
      </c>
      <c r="I48">
        <f t="shared" si="1"/>
        <v>31176</v>
      </c>
      <c r="J48" t="str">
        <f>IF(H48=0, "", IF(VLOOKUP(B48, Logistics_Master!$A$2:$J$4, 4, FALSE)="Truck", ROUNDUP(H48/30, 0) &amp; " Trucks", IF(VLOOKUP(B48, Logistics_Master!$A$2:$J$4, 4, FALSE)="Sea Vessel", "Sea Vessel (MR Tanker)", IF(VLOOKUP(B48, Logistics_Master!$A$2:$J$4, 4, FALSE)="Rail", ROUNDUP(H48/1200, 0) &amp; " Block Trains", "Pipeline Batch"))))</f>
        <v/>
      </c>
    </row>
    <row r="49" spans="1:10" x14ac:dyDescent="0.3">
      <c r="A49" s="3">
        <f>Raw_Flight_Data!A49</f>
        <v>45581</v>
      </c>
      <c r="B49" t="str">
        <f>Raw_Flight_Data!B49</f>
        <v>GVA</v>
      </c>
      <c r="C49">
        <f>Raw_Flight_Data!C49</f>
        <v>204</v>
      </c>
      <c r="D49">
        <f>C49 * VLOOKUP(B49, Logistics_Master!$A$2:$J$4, 5, FALSE)</f>
        <v>2550</v>
      </c>
      <c r="E49">
        <f>D49 * VLOOKUP(B49, Logistics_Master!$A$2:$J$4, 6, FALSE)</f>
        <v>15300</v>
      </c>
      <c r="F49">
        <f>IF(A49=MIN(Raw_Flight_Data!$A$2:$A$100), VLOOKUP(B49, Logistics_Master!$A$2:$J$4, 7, FALSE) * 0.8, SUMIFS($I$1:I48, $B$1:B48, B49, $A$1:A48, A49-1))</f>
        <v>28000</v>
      </c>
      <c r="G49">
        <f t="shared" si="0"/>
        <v>25450</v>
      </c>
      <c r="H49">
        <f>IF(G49 &lt;= E49, VLOOKUP(B49, Logistics_Master!$A$2:$J$4, 7, FALSE) - G49, 0)</f>
        <v>0</v>
      </c>
      <c r="I49">
        <f t="shared" si="1"/>
        <v>25450</v>
      </c>
      <c r="J49" t="str">
        <f>IF(H49=0, "", IF(VLOOKUP(B49, Logistics_Master!$A$2:$J$4, 4, FALSE)="Truck", ROUNDUP(H49/30, 0) &amp; " Trucks", IF(VLOOKUP(B49, Logistics_Master!$A$2:$J$4, 4, FALSE)="Sea Vessel", "Sea Vessel (MR Tanker)", IF(VLOOKUP(B49, Logistics_Master!$A$2:$J$4, 4, FALSE)="Rail", ROUNDUP(H49/1200, 0) &amp; " Block Trains", "Pipeline Batch"))))</f>
        <v/>
      </c>
    </row>
    <row r="50" spans="1:10" x14ac:dyDescent="0.3">
      <c r="A50" s="3">
        <f>Raw_Flight_Data!A50</f>
        <v>45582</v>
      </c>
      <c r="B50" t="str">
        <f>Raw_Flight_Data!B50</f>
        <v>FRA</v>
      </c>
      <c r="C50">
        <f>Raw_Flight_Data!C50</f>
        <v>638</v>
      </c>
      <c r="D50">
        <f>C50 * VLOOKUP(B50, Logistics_Master!$A$2:$J$4, 5, FALSE)</f>
        <v>15312</v>
      </c>
      <c r="E50">
        <f>D50 * VLOOKUP(B50, Logistics_Master!$A$2:$J$4, 6, FALSE)</f>
        <v>61248</v>
      </c>
      <c r="F50">
        <f>IF(A50=MIN(Raw_Flight_Data!$A$2:$A$100), VLOOKUP(B50, Logistics_Master!$A$2:$J$4, 7, FALSE) * 0.8, SUMIFS($I$1:I49, $B$1:B49, B50, $A$1:A49, A50-1))</f>
        <v>140000</v>
      </c>
      <c r="G50">
        <f t="shared" si="0"/>
        <v>124688</v>
      </c>
      <c r="H50">
        <f>IF(G50 &lt;= E50, VLOOKUP(B50, Logistics_Master!$A$2:$J$4, 7, FALSE) - G50, 0)</f>
        <v>0</v>
      </c>
      <c r="I50">
        <f t="shared" si="1"/>
        <v>124688</v>
      </c>
      <c r="J50" t="str">
        <f>IF(H50=0, "", IF(VLOOKUP(B50, Logistics_Master!$A$2:$J$4, 4, FALSE)="Truck", ROUNDUP(H50/30, 0) &amp; " Trucks", IF(VLOOKUP(B50, Logistics_Master!$A$2:$J$4, 4, FALSE)="Sea Vessel", "Sea Vessel (MR Tanker)", IF(VLOOKUP(B50, Logistics_Master!$A$2:$J$4, 4, FALSE)="Rail", ROUNDUP(H50/1200, 0) &amp; " Block Trains", "Pipeline Batch"))))</f>
        <v/>
      </c>
    </row>
    <row r="51" spans="1:10" x14ac:dyDescent="0.3">
      <c r="A51" s="3">
        <f>Raw_Flight_Data!A51</f>
        <v>45582</v>
      </c>
      <c r="B51" t="str">
        <f>Raw_Flight_Data!B51</f>
        <v>DUB</v>
      </c>
      <c r="C51">
        <f>Raw_Flight_Data!C51</f>
        <v>302</v>
      </c>
      <c r="D51">
        <f>C51 * VLOOKUP(B51, Logistics_Master!$A$2:$J$4, 5, FALSE)</f>
        <v>4832</v>
      </c>
      <c r="E51">
        <f>D51 * VLOOKUP(B51, Logistics_Master!$A$2:$J$4, 6, FALSE)</f>
        <v>24160</v>
      </c>
      <c r="F51">
        <f>IF(A51=MIN(Raw_Flight_Data!$A$2:$A$100), VLOOKUP(B51, Logistics_Master!$A$2:$J$4, 7, FALSE) * 0.8, SUMIFS($I$1:I50, $B$1:B50, B51, $A$1:A50, A51-1))</f>
        <v>31176</v>
      </c>
      <c r="G51">
        <f t="shared" si="0"/>
        <v>26344</v>
      </c>
      <c r="H51">
        <f>IF(G51 &lt;= E51, VLOOKUP(B51, Logistics_Master!$A$2:$J$4, 7, FALSE) - G51, 0)</f>
        <v>0</v>
      </c>
      <c r="I51">
        <f t="shared" si="1"/>
        <v>26344</v>
      </c>
      <c r="J51" t="str">
        <f>IF(H51=0, "", IF(VLOOKUP(B51, Logistics_Master!$A$2:$J$4, 4, FALSE)="Truck", ROUNDUP(H51/30, 0) &amp; " Trucks", IF(VLOOKUP(B51, Logistics_Master!$A$2:$J$4, 4, FALSE)="Sea Vessel", "Sea Vessel (MR Tanker)", IF(VLOOKUP(B51, Logistics_Master!$A$2:$J$4, 4, FALSE)="Rail", ROUNDUP(H51/1200, 0) &amp; " Block Trains", "Pipeline Batch"))))</f>
        <v/>
      </c>
    </row>
    <row r="52" spans="1:10" x14ac:dyDescent="0.3">
      <c r="A52" s="3">
        <f>Raw_Flight_Data!A52</f>
        <v>45582</v>
      </c>
      <c r="B52" t="str">
        <f>Raw_Flight_Data!B52</f>
        <v>GVA</v>
      </c>
      <c r="C52">
        <f>Raw_Flight_Data!C52</f>
        <v>214</v>
      </c>
      <c r="D52">
        <f>C52 * VLOOKUP(B52, Logistics_Master!$A$2:$J$4, 5, FALSE)</f>
        <v>2675</v>
      </c>
      <c r="E52">
        <f>D52 * VLOOKUP(B52, Logistics_Master!$A$2:$J$4, 6, FALSE)</f>
        <v>16050</v>
      </c>
      <c r="F52">
        <f>IF(A52=MIN(Raw_Flight_Data!$A$2:$A$100), VLOOKUP(B52, Logistics_Master!$A$2:$J$4, 7, FALSE) * 0.8, SUMIFS($I$1:I51, $B$1:B51, B52, $A$1:A51, A52-1))</f>
        <v>25450</v>
      </c>
      <c r="G52">
        <f t="shared" si="0"/>
        <v>22775</v>
      </c>
      <c r="H52">
        <f>IF(G52 &lt;= E52, VLOOKUP(B52, Logistics_Master!$A$2:$J$4, 7, FALSE) - G52, 0)</f>
        <v>0</v>
      </c>
      <c r="I52">
        <f t="shared" si="1"/>
        <v>22775</v>
      </c>
      <c r="J52" t="str">
        <f>IF(H52=0, "", IF(VLOOKUP(B52, Logistics_Master!$A$2:$J$4, 4, FALSE)="Truck", ROUNDUP(H52/30, 0) &amp; " Trucks", IF(VLOOKUP(B52, Logistics_Master!$A$2:$J$4, 4, FALSE)="Sea Vessel", "Sea Vessel (MR Tanker)", IF(VLOOKUP(B52, Logistics_Master!$A$2:$J$4, 4, FALSE)="Rail", ROUNDUP(H52/1200, 0) &amp; " Block Trains", "Pipeline Batch"))))</f>
        <v/>
      </c>
    </row>
    <row r="53" spans="1:10" x14ac:dyDescent="0.3">
      <c r="A53" s="3">
        <f>Raw_Flight_Data!A53</f>
        <v>45583</v>
      </c>
      <c r="B53" t="str">
        <f>Raw_Flight_Data!B53</f>
        <v>FRA</v>
      </c>
      <c r="C53">
        <f>Raw_Flight_Data!C53</f>
        <v>655</v>
      </c>
      <c r="D53">
        <f>C53 * VLOOKUP(B53, Logistics_Master!$A$2:$J$4, 5, FALSE)</f>
        <v>15720</v>
      </c>
      <c r="E53">
        <f>D53 * VLOOKUP(B53, Logistics_Master!$A$2:$J$4, 6, FALSE)</f>
        <v>62880</v>
      </c>
      <c r="F53">
        <f>IF(A53=MIN(Raw_Flight_Data!$A$2:$A$100), VLOOKUP(B53, Logistics_Master!$A$2:$J$4, 7, FALSE) * 0.8, SUMIFS($I$1:I52, $B$1:B52, B53, $A$1:A52, A53-1))</f>
        <v>124688</v>
      </c>
      <c r="G53">
        <f t="shared" si="0"/>
        <v>108968</v>
      </c>
      <c r="H53">
        <f>IF(G53 &lt;= E53, VLOOKUP(B53, Logistics_Master!$A$2:$J$4, 7, FALSE) - G53, 0)</f>
        <v>0</v>
      </c>
      <c r="I53">
        <f t="shared" si="1"/>
        <v>108968</v>
      </c>
      <c r="J53" t="str">
        <f>IF(H53=0, "", IF(VLOOKUP(B53, Logistics_Master!$A$2:$J$4, 4, FALSE)="Truck", ROUNDUP(H53/30, 0) &amp; " Trucks", IF(VLOOKUP(B53, Logistics_Master!$A$2:$J$4, 4, FALSE)="Sea Vessel", "Sea Vessel (MR Tanker)", IF(VLOOKUP(B53, Logistics_Master!$A$2:$J$4, 4, FALSE)="Rail", ROUNDUP(H53/1200, 0) &amp; " Block Trains", "Pipeline Batch"))))</f>
        <v/>
      </c>
    </row>
    <row r="54" spans="1:10" x14ac:dyDescent="0.3">
      <c r="A54" s="3">
        <f>Raw_Flight_Data!A54</f>
        <v>45583</v>
      </c>
      <c r="B54" t="str">
        <f>Raw_Flight_Data!B54</f>
        <v>DUB</v>
      </c>
      <c r="C54">
        <f>Raw_Flight_Data!C54</f>
        <v>318</v>
      </c>
      <c r="D54">
        <f>C54 * VLOOKUP(B54, Logistics_Master!$A$2:$J$4, 5, FALSE)</f>
        <v>5088</v>
      </c>
      <c r="E54">
        <f>D54 * VLOOKUP(B54, Logistics_Master!$A$2:$J$4, 6, FALSE)</f>
        <v>25440</v>
      </c>
      <c r="F54">
        <f>IF(A54=MIN(Raw_Flight_Data!$A$2:$A$100), VLOOKUP(B54, Logistics_Master!$A$2:$J$4, 7, FALSE) * 0.8, SUMIFS($I$1:I53, $B$1:B53, B54, $A$1:A53, A54-1))</f>
        <v>26344</v>
      </c>
      <c r="G54">
        <f t="shared" si="0"/>
        <v>21256</v>
      </c>
      <c r="H54">
        <f>IF(G54 &lt;= E54, VLOOKUP(B54, Logistics_Master!$A$2:$J$4, 7, FALSE) - G54, 0)</f>
        <v>23744</v>
      </c>
      <c r="I54">
        <f t="shared" si="1"/>
        <v>45000</v>
      </c>
      <c r="J54" t="str">
        <f>IF(H54=0, "", IF(VLOOKUP(B54, Logistics_Master!$A$2:$J$4, 4, FALSE)="Truck", ROUNDUP(H54/30, 0) &amp; " Trucks", IF(VLOOKUP(B54, Logistics_Master!$A$2:$J$4, 4, FALSE)="Sea Vessel", "Sea Vessel (MR Tanker)", IF(VLOOKUP(B54, Logistics_Master!$A$2:$J$4, 4, FALSE)="Rail", ROUNDUP(H54/1200, 0) &amp; " Block Trains", "Pipeline Batch"))))</f>
        <v>Sea Vessel (MR Tanker)</v>
      </c>
    </row>
    <row r="55" spans="1:10" x14ac:dyDescent="0.3">
      <c r="A55" s="3">
        <f>Raw_Flight_Data!A55</f>
        <v>45583</v>
      </c>
      <c r="B55" t="str">
        <f>Raw_Flight_Data!B55</f>
        <v>GVA</v>
      </c>
      <c r="C55">
        <f>Raw_Flight_Data!C55</f>
        <v>228</v>
      </c>
      <c r="D55">
        <f>C55 * VLOOKUP(B55, Logistics_Master!$A$2:$J$4, 5, FALSE)</f>
        <v>2850</v>
      </c>
      <c r="E55">
        <f>D55 * VLOOKUP(B55, Logistics_Master!$A$2:$J$4, 6, FALSE)</f>
        <v>17100</v>
      </c>
      <c r="F55">
        <f>IF(A55=MIN(Raw_Flight_Data!$A$2:$A$100), VLOOKUP(B55, Logistics_Master!$A$2:$J$4, 7, FALSE) * 0.8, SUMIFS($I$1:I54, $B$1:B54, B55, $A$1:A54, A55-1))</f>
        <v>22775</v>
      </c>
      <c r="G55">
        <f t="shared" si="0"/>
        <v>19925</v>
      </c>
      <c r="H55">
        <f>IF(G55 &lt;= E55, VLOOKUP(B55, Logistics_Master!$A$2:$J$4, 7, FALSE) - G55, 0)</f>
        <v>0</v>
      </c>
      <c r="I55">
        <f t="shared" si="1"/>
        <v>19925</v>
      </c>
      <c r="J55" t="str">
        <f>IF(H55=0, "", IF(VLOOKUP(B55, Logistics_Master!$A$2:$J$4, 4, FALSE)="Truck", ROUNDUP(H55/30, 0) &amp; " Trucks", IF(VLOOKUP(B55, Logistics_Master!$A$2:$J$4, 4, FALSE)="Sea Vessel", "Sea Vessel (MR Tanker)", IF(VLOOKUP(B55, Logistics_Master!$A$2:$J$4, 4, FALSE)="Rail", ROUNDUP(H55/1200, 0) &amp; " Block Trains", "Pipeline Batch"))))</f>
        <v/>
      </c>
    </row>
    <row r="56" spans="1:10" x14ac:dyDescent="0.3">
      <c r="A56" s="3">
        <f>Raw_Flight_Data!A56</f>
        <v>45584</v>
      </c>
      <c r="B56" t="str">
        <f>Raw_Flight_Data!B56</f>
        <v>FRA</v>
      </c>
      <c r="C56">
        <f>Raw_Flight_Data!C56</f>
        <v>582</v>
      </c>
      <c r="D56">
        <f>C56 * VLOOKUP(B56, Logistics_Master!$A$2:$J$4, 5, FALSE)</f>
        <v>13968</v>
      </c>
      <c r="E56">
        <f>D56 * VLOOKUP(B56, Logistics_Master!$A$2:$J$4, 6, FALSE)</f>
        <v>55872</v>
      </c>
      <c r="F56">
        <f>IF(A56=MIN(Raw_Flight_Data!$A$2:$A$100), VLOOKUP(B56, Logistics_Master!$A$2:$J$4, 7, FALSE) * 0.8, SUMIFS($I$1:I55, $B$1:B55, B56, $A$1:A55, A56-1))</f>
        <v>108968</v>
      </c>
      <c r="G56">
        <f t="shared" si="0"/>
        <v>95000</v>
      </c>
      <c r="H56">
        <f>IF(G56 &lt;= E56, VLOOKUP(B56, Logistics_Master!$A$2:$J$4, 7, FALSE) - G56, 0)</f>
        <v>0</v>
      </c>
      <c r="I56">
        <f t="shared" si="1"/>
        <v>95000</v>
      </c>
      <c r="J56" t="str">
        <f>IF(H56=0, "", IF(VLOOKUP(B56, Logistics_Master!$A$2:$J$4, 4, FALSE)="Truck", ROUNDUP(H56/30, 0) &amp; " Trucks", IF(VLOOKUP(B56, Logistics_Master!$A$2:$J$4, 4, FALSE)="Sea Vessel", "Sea Vessel (MR Tanker)", IF(VLOOKUP(B56, Logistics_Master!$A$2:$J$4, 4, FALSE)="Rail", ROUNDUP(H56/1200, 0) &amp; " Block Trains", "Pipeline Batch"))))</f>
        <v/>
      </c>
    </row>
    <row r="57" spans="1:10" x14ac:dyDescent="0.3">
      <c r="A57" s="3">
        <f>Raw_Flight_Data!A57</f>
        <v>45584</v>
      </c>
      <c r="B57" t="str">
        <f>Raw_Flight_Data!B57</f>
        <v>DUB</v>
      </c>
      <c r="C57">
        <f>Raw_Flight_Data!C57</f>
        <v>270</v>
      </c>
      <c r="D57">
        <f>C57 * VLOOKUP(B57, Logistics_Master!$A$2:$J$4, 5, FALSE)</f>
        <v>4320</v>
      </c>
      <c r="E57">
        <f>D57 * VLOOKUP(B57, Logistics_Master!$A$2:$J$4, 6, FALSE)</f>
        <v>21600</v>
      </c>
      <c r="F57">
        <f>IF(A57=MIN(Raw_Flight_Data!$A$2:$A$100), VLOOKUP(B57, Logistics_Master!$A$2:$J$4, 7, FALSE) * 0.8, SUMIFS($I$1:I56, $B$1:B56, B57, $A$1:A56, A57-1))</f>
        <v>45000</v>
      </c>
      <c r="G57">
        <f t="shared" si="0"/>
        <v>40680</v>
      </c>
      <c r="H57">
        <f>IF(G57 &lt;= E57, VLOOKUP(B57, Logistics_Master!$A$2:$J$4, 7, FALSE) - G57, 0)</f>
        <v>0</v>
      </c>
      <c r="I57">
        <f t="shared" si="1"/>
        <v>40680</v>
      </c>
      <c r="J57" t="str">
        <f>IF(H57=0, "", IF(VLOOKUP(B57, Logistics_Master!$A$2:$J$4, 4, FALSE)="Truck", ROUNDUP(H57/30, 0) &amp; " Trucks", IF(VLOOKUP(B57, Logistics_Master!$A$2:$J$4, 4, FALSE)="Sea Vessel", "Sea Vessel (MR Tanker)", IF(VLOOKUP(B57, Logistics_Master!$A$2:$J$4, 4, FALSE)="Rail", ROUNDUP(H57/1200, 0) &amp; " Block Trains", "Pipeline Batch"))))</f>
        <v/>
      </c>
    </row>
    <row r="58" spans="1:10" x14ac:dyDescent="0.3">
      <c r="A58" s="3">
        <f>Raw_Flight_Data!A58</f>
        <v>45584</v>
      </c>
      <c r="B58" t="str">
        <f>Raw_Flight_Data!B58</f>
        <v>GVA</v>
      </c>
      <c r="C58">
        <f>Raw_Flight_Data!C58</f>
        <v>190</v>
      </c>
      <c r="D58">
        <f>C58 * VLOOKUP(B58, Logistics_Master!$A$2:$J$4, 5, FALSE)</f>
        <v>2375</v>
      </c>
      <c r="E58">
        <f>D58 * VLOOKUP(B58, Logistics_Master!$A$2:$J$4, 6, FALSE)</f>
        <v>14250</v>
      </c>
      <c r="F58">
        <f>IF(A58=MIN(Raw_Flight_Data!$A$2:$A$100), VLOOKUP(B58, Logistics_Master!$A$2:$J$4, 7, FALSE) * 0.8, SUMIFS($I$1:I57, $B$1:B57, B58, $A$1:A57, A58-1))</f>
        <v>19925</v>
      </c>
      <c r="G58">
        <f t="shared" si="0"/>
        <v>17550</v>
      </c>
      <c r="H58">
        <f>IF(G58 &lt;= E58, VLOOKUP(B58, Logistics_Master!$A$2:$J$4, 7, FALSE) - G58, 0)</f>
        <v>0</v>
      </c>
      <c r="I58">
        <f t="shared" si="1"/>
        <v>17550</v>
      </c>
      <c r="J58" t="str">
        <f>IF(H58=0, "", IF(VLOOKUP(B58, Logistics_Master!$A$2:$J$4, 4, FALSE)="Truck", ROUNDUP(H58/30, 0) &amp; " Trucks", IF(VLOOKUP(B58, Logistics_Master!$A$2:$J$4, 4, FALSE)="Sea Vessel", "Sea Vessel (MR Tanker)", IF(VLOOKUP(B58, Logistics_Master!$A$2:$J$4, 4, FALSE)="Rail", ROUNDUP(H58/1200, 0) &amp; " Block Trains", "Pipeline Batch"))))</f>
        <v/>
      </c>
    </row>
    <row r="59" spans="1:10" x14ac:dyDescent="0.3">
      <c r="A59" s="3">
        <f>Raw_Flight_Data!A59</f>
        <v>45585</v>
      </c>
      <c r="B59" t="str">
        <f>Raw_Flight_Data!B59</f>
        <v>FRA</v>
      </c>
      <c r="C59">
        <f>Raw_Flight_Data!C59</f>
        <v>636</v>
      </c>
      <c r="D59">
        <f>C59 * VLOOKUP(B59, Logistics_Master!$A$2:$J$4, 5, FALSE)</f>
        <v>15264</v>
      </c>
      <c r="E59">
        <f>D59 * VLOOKUP(B59, Logistics_Master!$A$2:$J$4, 6, FALSE)</f>
        <v>61056</v>
      </c>
      <c r="F59">
        <f>IF(A59=MIN(Raw_Flight_Data!$A$2:$A$100), VLOOKUP(B59, Logistics_Master!$A$2:$J$4, 7, FALSE) * 0.8, SUMIFS($I$1:I58, $B$1:B58, B59, $A$1:A58, A59-1))</f>
        <v>95000</v>
      </c>
      <c r="G59">
        <f t="shared" si="0"/>
        <v>79736</v>
      </c>
      <c r="H59">
        <f>IF(G59 &lt;= E59, VLOOKUP(B59, Logistics_Master!$A$2:$J$4, 7, FALSE) - G59, 0)</f>
        <v>0</v>
      </c>
      <c r="I59">
        <f t="shared" si="1"/>
        <v>79736</v>
      </c>
      <c r="J59" t="str">
        <f>IF(H59=0, "", IF(VLOOKUP(B59, Logistics_Master!$A$2:$J$4, 4, FALSE)="Truck", ROUNDUP(H59/30, 0) &amp; " Trucks", IF(VLOOKUP(B59, Logistics_Master!$A$2:$J$4, 4, FALSE)="Sea Vessel", "Sea Vessel (MR Tanker)", IF(VLOOKUP(B59, Logistics_Master!$A$2:$J$4, 4, FALSE)="Rail", ROUNDUP(H59/1200, 0) &amp; " Block Trains", "Pipeline Batch"))))</f>
        <v/>
      </c>
    </row>
    <row r="60" spans="1:10" x14ac:dyDescent="0.3">
      <c r="A60" s="3">
        <f>Raw_Flight_Data!A60</f>
        <v>45585</v>
      </c>
      <c r="B60" t="str">
        <f>Raw_Flight_Data!B60</f>
        <v>DUB</v>
      </c>
      <c r="C60">
        <f>Raw_Flight_Data!C60</f>
        <v>310</v>
      </c>
      <c r="D60">
        <f>C60 * VLOOKUP(B60, Logistics_Master!$A$2:$J$4, 5, FALSE)</f>
        <v>4960</v>
      </c>
      <c r="E60">
        <f>D60 * VLOOKUP(B60, Logistics_Master!$A$2:$J$4, 6, FALSE)</f>
        <v>24800</v>
      </c>
      <c r="F60">
        <f>IF(A60=MIN(Raw_Flight_Data!$A$2:$A$100), VLOOKUP(B60, Logistics_Master!$A$2:$J$4, 7, FALSE) * 0.8, SUMIFS($I$1:I59, $B$1:B59, B60, $A$1:A59, A60-1))</f>
        <v>40680</v>
      </c>
      <c r="G60">
        <f t="shared" si="0"/>
        <v>35720</v>
      </c>
      <c r="H60">
        <f>IF(G60 &lt;= E60, VLOOKUP(B60, Logistics_Master!$A$2:$J$4, 7, FALSE) - G60, 0)</f>
        <v>0</v>
      </c>
      <c r="I60">
        <f t="shared" si="1"/>
        <v>35720</v>
      </c>
      <c r="J60" t="str">
        <f>IF(H60=0, "", IF(VLOOKUP(B60, Logistics_Master!$A$2:$J$4, 4, FALSE)="Truck", ROUNDUP(H60/30, 0) &amp; " Trucks", IF(VLOOKUP(B60, Logistics_Master!$A$2:$J$4, 4, FALSE)="Sea Vessel", "Sea Vessel (MR Tanker)", IF(VLOOKUP(B60, Logistics_Master!$A$2:$J$4, 4, FALSE)="Rail", ROUNDUP(H60/1200, 0) &amp; " Block Trains", "Pipeline Batch"))))</f>
        <v/>
      </c>
    </row>
    <row r="61" spans="1:10" x14ac:dyDescent="0.3">
      <c r="A61" s="3">
        <f>Raw_Flight_Data!A61</f>
        <v>45585</v>
      </c>
      <c r="B61" t="str">
        <f>Raw_Flight_Data!B61</f>
        <v>GVA</v>
      </c>
      <c r="C61">
        <f>Raw_Flight_Data!C61</f>
        <v>220</v>
      </c>
      <c r="D61">
        <f>C61 * VLOOKUP(B61, Logistics_Master!$A$2:$J$4, 5, FALSE)</f>
        <v>2750</v>
      </c>
      <c r="E61">
        <f>D61 * VLOOKUP(B61, Logistics_Master!$A$2:$J$4, 6, FALSE)</f>
        <v>16500</v>
      </c>
      <c r="F61">
        <f>IF(A61=MIN(Raw_Flight_Data!$A$2:$A$100), VLOOKUP(B61, Logistics_Master!$A$2:$J$4, 7, FALSE) * 0.8, SUMIFS($I$1:I60, $B$1:B60, B61, $A$1:A60, A61-1))</f>
        <v>17550</v>
      </c>
      <c r="G61">
        <f t="shared" si="0"/>
        <v>14800</v>
      </c>
      <c r="H61">
        <f>IF(G61 &lt;= E61, VLOOKUP(B61, Logistics_Master!$A$2:$J$4, 7, FALSE) - G61, 0)</f>
        <v>13200</v>
      </c>
      <c r="I61">
        <f t="shared" si="1"/>
        <v>28000</v>
      </c>
      <c r="J61" t="str">
        <f>IF(H61=0, "", IF(VLOOKUP(B61, Logistics_Master!$A$2:$J$4, 4, FALSE)="Truck", ROUNDUP(H61/30, 0) &amp; " Trucks", IF(VLOOKUP(B61, Logistics_Master!$A$2:$J$4, 4, FALSE)="Sea Vessel", "Sea Vessel (MR Tanker)", IF(VLOOKUP(B61, Logistics_Master!$A$2:$J$4, 4, FALSE)="Rail", ROUNDUP(H61/1200, 0) &amp; " Block Trains", "Pipeline Batch"))))</f>
        <v>11 Block Trains</v>
      </c>
    </row>
    <row r="62" spans="1:10" x14ac:dyDescent="0.3">
      <c r="A62" s="3">
        <f>Raw_Flight_Data!A62</f>
        <v>45586</v>
      </c>
      <c r="B62" t="str">
        <f>Raw_Flight_Data!B62</f>
        <v>FRA</v>
      </c>
      <c r="C62">
        <f>Raw_Flight_Data!C62</f>
        <v>614</v>
      </c>
      <c r="D62">
        <f>C62 * VLOOKUP(B62, Logistics_Master!$A$2:$J$4, 5, FALSE)</f>
        <v>14736</v>
      </c>
      <c r="E62">
        <f>D62 * VLOOKUP(B62, Logistics_Master!$A$2:$J$4, 6, FALSE)</f>
        <v>58944</v>
      </c>
      <c r="F62">
        <f>IF(A62=MIN(Raw_Flight_Data!$A$2:$A$100), VLOOKUP(B62, Logistics_Master!$A$2:$J$4, 7, FALSE) * 0.8, SUMIFS($I$1:I61, $B$1:B61, B62, $A$1:A61, A62-1))</f>
        <v>79736</v>
      </c>
      <c r="G62">
        <f t="shared" si="0"/>
        <v>65000</v>
      </c>
      <c r="H62">
        <f>IF(G62 &lt;= E62, VLOOKUP(B62, Logistics_Master!$A$2:$J$4, 7, FALSE) - G62, 0)</f>
        <v>0</v>
      </c>
      <c r="I62">
        <f t="shared" si="1"/>
        <v>65000</v>
      </c>
      <c r="J62" t="str">
        <f>IF(H62=0, "", IF(VLOOKUP(B62, Logistics_Master!$A$2:$J$4, 4, FALSE)="Truck", ROUNDUP(H62/30, 0) &amp; " Trucks", IF(VLOOKUP(B62, Logistics_Master!$A$2:$J$4, 4, FALSE)="Sea Vessel", "Sea Vessel (MR Tanker)", IF(VLOOKUP(B62, Logistics_Master!$A$2:$J$4, 4, FALSE)="Rail", ROUNDUP(H62/1200, 0) &amp; " Block Trains", "Pipeline Batch"))))</f>
        <v/>
      </c>
    </row>
    <row r="63" spans="1:10" x14ac:dyDescent="0.3">
      <c r="A63" s="3">
        <f>Raw_Flight_Data!A63</f>
        <v>45586</v>
      </c>
      <c r="B63" t="str">
        <f>Raw_Flight_Data!B63</f>
        <v>DUB</v>
      </c>
      <c r="C63">
        <f>Raw_Flight_Data!C63</f>
        <v>285</v>
      </c>
      <c r="D63">
        <f>C63 * VLOOKUP(B63, Logistics_Master!$A$2:$J$4, 5, FALSE)</f>
        <v>4560</v>
      </c>
      <c r="E63">
        <f>D63 * VLOOKUP(B63, Logistics_Master!$A$2:$J$4, 6, FALSE)</f>
        <v>22800</v>
      </c>
      <c r="F63">
        <f>IF(A63=MIN(Raw_Flight_Data!$A$2:$A$100), VLOOKUP(B63, Logistics_Master!$A$2:$J$4, 7, FALSE) * 0.8, SUMIFS($I$1:I62, $B$1:B62, B63, $A$1:A62, A63-1))</f>
        <v>35720</v>
      </c>
      <c r="G63">
        <f t="shared" si="0"/>
        <v>31160</v>
      </c>
      <c r="H63">
        <f>IF(G63 &lt;= E63, VLOOKUP(B63, Logistics_Master!$A$2:$J$4, 7, FALSE) - G63, 0)</f>
        <v>0</v>
      </c>
      <c r="I63">
        <f t="shared" si="1"/>
        <v>31160</v>
      </c>
      <c r="J63" t="str">
        <f>IF(H63=0, "", IF(VLOOKUP(B63, Logistics_Master!$A$2:$J$4, 4, FALSE)="Truck", ROUNDUP(H63/30, 0) &amp; " Trucks", IF(VLOOKUP(B63, Logistics_Master!$A$2:$J$4, 4, FALSE)="Sea Vessel", "Sea Vessel (MR Tanker)", IF(VLOOKUP(B63, Logistics_Master!$A$2:$J$4, 4, FALSE)="Rail", ROUNDUP(H63/1200, 0) &amp; " Block Trains", "Pipeline Batch"))))</f>
        <v/>
      </c>
    </row>
    <row r="64" spans="1:10" x14ac:dyDescent="0.3">
      <c r="A64" s="3">
        <f>Raw_Flight_Data!A64</f>
        <v>45586</v>
      </c>
      <c r="B64" t="str">
        <f>Raw_Flight_Data!B64</f>
        <v>GVA</v>
      </c>
      <c r="C64">
        <f>Raw_Flight_Data!C64</f>
        <v>197</v>
      </c>
      <c r="D64">
        <f>C64 * VLOOKUP(B64, Logistics_Master!$A$2:$J$4, 5, FALSE)</f>
        <v>2462.5</v>
      </c>
      <c r="E64">
        <f>D64 * VLOOKUP(B64, Logistics_Master!$A$2:$J$4, 6, FALSE)</f>
        <v>14775</v>
      </c>
      <c r="F64">
        <f>IF(A64=MIN(Raw_Flight_Data!$A$2:$A$100), VLOOKUP(B64, Logistics_Master!$A$2:$J$4, 7, FALSE) * 0.8, SUMIFS($I$1:I63, $B$1:B63, B64, $A$1:A63, A64-1))</f>
        <v>28000</v>
      </c>
      <c r="G64">
        <f t="shared" si="0"/>
        <v>25537.5</v>
      </c>
      <c r="H64">
        <f>IF(G64 &lt;= E64, VLOOKUP(B64, Logistics_Master!$A$2:$J$4, 7, FALSE) - G64, 0)</f>
        <v>0</v>
      </c>
      <c r="I64">
        <f t="shared" si="1"/>
        <v>25537.5</v>
      </c>
      <c r="J64" t="str">
        <f>IF(H64=0, "", IF(VLOOKUP(B64, Logistics_Master!$A$2:$J$4, 4, FALSE)="Truck", ROUNDUP(H64/30, 0) &amp; " Trucks", IF(VLOOKUP(B64, Logistics_Master!$A$2:$J$4, 4, FALSE)="Sea Vessel", "Sea Vessel (MR Tanker)", IF(VLOOKUP(B64, Logistics_Master!$A$2:$J$4, 4, FALSE)="Rail", ROUNDUP(H64/1200, 0) &amp; " Block Trains", "Pipeline Batch"))))</f>
        <v/>
      </c>
    </row>
    <row r="65" spans="1:10" x14ac:dyDescent="0.3">
      <c r="A65" s="3">
        <f>Raw_Flight_Data!A65</f>
        <v>45587</v>
      </c>
      <c r="B65" t="str">
        <f>Raw_Flight_Data!B65</f>
        <v>FRA</v>
      </c>
      <c r="C65">
        <f>Raw_Flight_Data!C65</f>
        <v>619</v>
      </c>
      <c r="D65">
        <f>C65 * VLOOKUP(B65, Logistics_Master!$A$2:$J$4, 5, FALSE)</f>
        <v>14856</v>
      </c>
      <c r="E65">
        <f>D65 * VLOOKUP(B65, Logistics_Master!$A$2:$J$4, 6, FALSE)</f>
        <v>59424</v>
      </c>
      <c r="F65">
        <f>IF(A65=MIN(Raw_Flight_Data!$A$2:$A$100), VLOOKUP(B65, Logistics_Master!$A$2:$J$4, 7, FALSE) * 0.8, SUMIFS($I$1:I64, $B$1:B64, B65, $A$1:A64, A65-1))</f>
        <v>65000</v>
      </c>
      <c r="G65">
        <f t="shared" si="0"/>
        <v>50144</v>
      </c>
      <c r="H65">
        <f>IF(G65 &lt;= E65, VLOOKUP(B65, Logistics_Master!$A$2:$J$4, 7, FALSE) - G65, 0)</f>
        <v>89856</v>
      </c>
      <c r="I65">
        <f t="shared" si="1"/>
        <v>140000</v>
      </c>
      <c r="J65" t="str">
        <f>IF(H65=0, "", IF(VLOOKUP(B65, Logistics_Master!$A$2:$J$4, 4, FALSE)="Truck", ROUNDUP(H65/30, 0) &amp; " Trucks", IF(VLOOKUP(B65, Logistics_Master!$A$2:$J$4, 4, FALSE)="Sea Vessel", "Sea Vessel (MR Tanker)", IF(VLOOKUP(B65, Logistics_Master!$A$2:$J$4, 4, FALSE)="Rail", ROUNDUP(H65/1200, 0) &amp; " Block Trains", "Pipeline Batch"))))</f>
        <v>Pipeline Batch</v>
      </c>
    </row>
    <row r="66" spans="1:10" x14ac:dyDescent="0.3">
      <c r="A66" s="3">
        <f>Raw_Flight_Data!A66</f>
        <v>45587</v>
      </c>
      <c r="B66" t="str">
        <f>Raw_Flight_Data!B66</f>
        <v>DUB</v>
      </c>
      <c r="C66">
        <f>Raw_Flight_Data!C66</f>
        <v>289</v>
      </c>
      <c r="D66">
        <f>C66 * VLOOKUP(B66, Logistics_Master!$A$2:$J$4, 5, FALSE)</f>
        <v>4624</v>
      </c>
      <c r="E66">
        <f>D66 * VLOOKUP(B66, Logistics_Master!$A$2:$J$4, 6, FALSE)</f>
        <v>23120</v>
      </c>
      <c r="F66">
        <f>IF(A66=MIN(Raw_Flight_Data!$A$2:$A$100), VLOOKUP(B66, Logistics_Master!$A$2:$J$4, 7, FALSE) * 0.8, SUMIFS($I$1:I65, $B$1:B65, B66, $A$1:A65, A66-1))</f>
        <v>31160</v>
      </c>
      <c r="G66">
        <f t="shared" si="0"/>
        <v>26536</v>
      </c>
      <c r="H66">
        <f>IF(G66 &lt;= E66, VLOOKUP(B66, Logistics_Master!$A$2:$J$4, 7, FALSE) - G66, 0)</f>
        <v>0</v>
      </c>
      <c r="I66">
        <f t="shared" si="1"/>
        <v>26536</v>
      </c>
      <c r="J66" t="str">
        <f>IF(H66=0, "", IF(VLOOKUP(B66, Logistics_Master!$A$2:$J$4, 4, FALSE)="Truck", ROUNDUP(H66/30, 0) &amp; " Trucks", IF(VLOOKUP(B66, Logistics_Master!$A$2:$J$4, 4, FALSE)="Sea Vessel", "Sea Vessel (MR Tanker)", IF(VLOOKUP(B66, Logistics_Master!$A$2:$J$4, 4, FALSE)="Rail", ROUNDUP(H66/1200, 0) &amp; " Block Trains", "Pipeline Batch"))))</f>
        <v/>
      </c>
    </row>
    <row r="67" spans="1:10" x14ac:dyDescent="0.3">
      <c r="A67" s="3">
        <f>Raw_Flight_Data!A67</f>
        <v>45587</v>
      </c>
      <c r="B67" t="str">
        <f>Raw_Flight_Data!B67</f>
        <v>GVA</v>
      </c>
      <c r="C67">
        <f>Raw_Flight_Data!C67</f>
        <v>201</v>
      </c>
      <c r="D67">
        <f>C67 * VLOOKUP(B67, Logistics_Master!$A$2:$J$4, 5, FALSE)</f>
        <v>2512.5</v>
      </c>
      <c r="E67">
        <f>D67 * VLOOKUP(B67, Logistics_Master!$A$2:$J$4, 6, FALSE)</f>
        <v>15075</v>
      </c>
      <c r="F67">
        <f>IF(A67=MIN(Raw_Flight_Data!$A$2:$A$100), VLOOKUP(B67, Logistics_Master!$A$2:$J$4, 7, FALSE) * 0.8, SUMIFS($I$1:I66, $B$1:B66, B67, $A$1:A66, A67-1))</f>
        <v>25537.5</v>
      </c>
      <c r="G67">
        <f t="shared" ref="G67:G91" si="2">F67 - D67</f>
        <v>23025</v>
      </c>
      <c r="H67">
        <f>IF(G67 &lt;= E67, VLOOKUP(B67, Logistics_Master!$A$2:$J$4, 7, FALSE) - G67, 0)</f>
        <v>0</v>
      </c>
      <c r="I67">
        <f t="shared" ref="I67:I91" si="3">G67 + H67</f>
        <v>23025</v>
      </c>
      <c r="J67" t="str">
        <f>IF(H67=0, "", IF(VLOOKUP(B67, Logistics_Master!$A$2:$J$4, 4, FALSE)="Truck", ROUNDUP(H67/30, 0) &amp; " Trucks", IF(VLOOKUP(B67, Logistics_Master!$A$2:$J$4, 4, FALSE)="Sea Vessel", "Sea Vessel (MR Tanker)", IF(VLOOKUP(B67, Logistics_Master!$A$2:$J$4, 4, FALSE)="Rail", ROUNDUP(H67/1200, 0) &amp; " Block Trains", "Pipeline Batch"))))</f>
        <v/>
      </c>
    </row>
    <row r="68" spans="1:10" x14ac:dyDescent="0.3">
      <c r="A68" s="3">
        <f>Raw_Flight_Data!A68</f>
        <v>45588</v>
      </c>
      <c r="B68" t="str">
        <f>Raw_Flight_Data!B68</f>
        <v>FRA</v>
      </c>
      <c r="C68">
        <f>Raw_Flight_Data!C68</f>
        <v>626</v>
      </c>
      <c r="D68">
        <f>C68 * VLOOKUP(B68, Logistics_Master!$A$2:$J$4, 5, FALSE)</f>
        <v>15024</v>
      </c>
      <c r="E68">
        <f>D68 * VLOOKUP(B68, Logistics_Master!$A$2:$J$4, 6, FALSE)</f>
        <v>60096</v>
      </c>
      <c r="F68">
        <f>IF(A68=MIN(Raw_Flight_Data!$A$2:$A$100), VLOOKUP(B68, Logistics_Master!$A$2:$J$4, 7, FALSE) * 0.8, SUMIFS($I$1:I67, $B$1:B67, B68, $A$1:A67, A68-1))</f>
        <v>140000</v>
      </c>
      <c r="G68">
        <f t="shared" si="2"/>
        <v>124976</v>
      </c>
      <c r="H68">
        <f>IF(G68 &lt;= E68, VLOOKUP(B68, Logistics_Master!$A$2:$J$4, 7, FALSE) - G68, 0)</f>
        <v>0</v>
      </c>
      <c r="I68">
        <f t="shared" si="3"/>
        <v>124976</v>
      </c>
      <c r="J68" t="str">
        <f>IF(H68=0, "", IF(VLOOKUP(B68, Logistics_Master!$A$2:$J$4, 4, FALSE)="Truck", ROUNDUP(H68/30, 0) &amp; " Trucks", IF(VLOOKUP(B68, Logistics_Master!$A$2:$J$4, 4, FALSE)="Sea Vessel", "Sea Vessel (MR Tanker)", IF(VLOOKUP(B68, Logistics_Master!$A$2:$J$4, 4, FALSE)="Rail", ROUNDUP(H68/1200, 0) &amp; " Block Trains", "Pipeline Batch"))))</f>
        <v/>
      </c>
    </row>
    <row r="69" spans="1:10" x14ac:dyDescent="0.3">
      <c r="A69" s="3">
        <f>Raw_Flight_Data!A69</f>
        <v>45588</v>
      </c>
      <c r="B69" t="str">
        <f>Raw_Flight_Data!B69</f>
        <v>DUB</v>
      </c>
      <c r="C69">
        <f>Raw_Flight_Data!C69</f>
        <v>295</v>
      </c>
      <c r="D69">
        <f>C69 * VLOOKUP(B69, Logistics_Master!$A$2:$J$4, 5, FALSE)</f>
        <v>4720</v>
      </c>
      <c r="E69">
        <f>D69 * VLOOKUP(B69, Logistics_Master!$A$2:$J$4, 6, FALSE)</f>
        <v>23600</v>
      </c>
      <c r="F69">
        <f>IF(A69=MIN(Raw_Flight_Data!$A$2:$A$100), VLOOKUP(B69, Logistics_Master!$A$2:$J$4, 7, FALSE) * 0.8, SUMIFS($I$1:I68, $B$1:B68, B69, $A$1:A68, A69-1))</f>
        <v>26536</v>
      </c>
      <c r="G69">
        <f t="shared" si="2"/>
        <v>21816</v>
      </c>
      <c r="H69">
        <f>IF(G69 &lt;= E69, VLOOKUP(B69, Logistics_Master!$A$2:$J$4, 7, FALSE) - G69, 0)</f>
        <v>23184</v>
      </c>
      <c r="I69">
        <f t="shared" si="3"/>
        <v>45000</v>
      </c>
      <c r="J69" t="str">
        <f>IF(H69=0, "", IF(VLOOKUP(B69, Logistics_Master!$A$2:$J$4, 4, FALSE)="Truck", ROUNDUP(H69/30, 0) &amp; " Trucks", IF(VLOOKUP(B69, Logistics_Master!$A$2:$J$4, 4, FALSE)="Sea Vessel", "Sea Vessel (MR Tanker)", IF(VLOOKUP(B69, Logistics_Master!$A$2:$J$4, 4, FALSE)="Rail", ROUNDUP(H69/1200, 0) &amp; " Block Trains", "Pipeline Batch"))))</f>
        <v>Sea Vessel (MR Tanker)</v>
      </c>
    </row>
    <row r="70" spans="1:10" x14ac:dyDescent="0.3">
      <c r="A70" s="3">
        <f>Raw_Flight_Data!A70</f>
        <v>45588</v>
      </c>
      <c r="B70" t="str">
        <f>Raw_Flight_Data!B70</f>
        <v>GVA</v>
      </c>
      <c r="C70">
        <f>Raw_Flight_Data!C70</f>
        <v>205</v>
      </c>
      <c r="D70">
        <f>C70 * VLOOKUP(B70, Logistics_Master!$A$2:$J$4, 5, FALSE)</f>
        <v>2562.5</v>
      </c>
      <c r="E70">
        <f>D70 * VLOOKUP(B70, Logistics_Master!$A$2:$J$4, 6, FALSE)</f>
        <v>15375</v>
      </c>
      <c r="F70">
        <f>IF(A70=MIN(Raw_Flight_Data!$A$2:$A$100), VLOOKUP(B70, Logistics_Master!$A$2:$J$4, 7, FALSE) * 0.8, SUMIFS($I$1:I69, $B$1:B69, B70, $A$1:A69, A70-1))</f>
        <v>23025</v>
      </c>
      <c r="G70">
        <f t="shared" si="2"/>
        <v>20462.5</v>
      </c>
      <c r="H70">
        <f>IF(G70 &lt;= E70, VLOOKUP(B70, Logistics_Master!$A$2:$J$4, 7, FALSE) - G70, 0)</f>
        <v>0</v>
      </c>
      <c r="I70">
        <f t="shared" si="3"/>
        <v>20462.5</v>
      </c>
      <c r="J70" t="str">
        <f>IF(H70=0, "", IF(VLOOKUP(B70, Logistics_Master!$A$2:$J$4, 4, FALSE)="Truck", ROUNDUP(H70/30, 0) &amp; " Trucks", IF(VLOOKUP(B70, Logistics_Master!$A$2:$J$4, 4, FALSE)="Sea Vessel", "Sea Vessel (MR Tanker)", IF(VLOOKUP(B70, Logistics_Master!$A$2:$J$4, 4, FALSE)="Rail", ROUNDUP(H70/1200, 0) &amp; " Block Trains", "Pipeline Batch"))))</f>
        <v/>
      </c>
    </row>
    <row r="71" spans="1:10" x14ac:dyDescent="0.3">
      <c r="A71" s="3">
        <f>Raw_Flight_Data!A71</f>
        <v>45589</v>
      </c>
      <c r="B71" t="str">
        <f>Raw_Flight_Data!B71</f>
        <v>FRA</v>
      </c>
      <c r="C71">
        <f>Raw_Flight_Data!C71</f>
        <v>640</v>
      </c>
      <c r="D71">
        <f>C71 * VLOOKUP(B71, Logistics_Master!$A$2:$J$4, 5, FALSE)</f>
        <v>15360</v>
      </c>
      <c r="E71">
        <f>D71 * VLOOKUP(B71, Logistics_Master!$A$2:$J$4, 6, FALSE)</f>
        <v>61440</v>
      </c>
      <c r="F71">
        <f>IF(A71=MIN(Raw_Flight_Data!$A$2:$A$100), VLOOKUP(B71, Logistics_Master!$A$2:$J$4, 7, FALSE) * 0.8, SUMIFS($I$1:I70, $B$1:B70, B71, $A$1:A70, A71-1))</f>
        <v>124976</v>
      </c>
      <c r="G71">
        <f t="shared" si="2"/>
        <v>109616</v>
      </c>
      <c r="H71">
        <f>IF(G71 &lt;= E71, VLOOKUP(B71, Logistics_Master!$A$2:$J$4, 7, FALSE) - G71, 0)</f>
        <v>0</v>
      </c>
      <c r="I71">
        <f t="shared" si="3"/>
        <v>109616</v>
      </c>
      <c r="J71" t="str">
        <f>IF(H71=0, "", IF(VLOOKUP(B71, Logistics_Master!$A$2:$J$4, 4, FALSE)="Truck", ROUNDUP(H71/30, 0) &amp; " Trucks", IF(VLOOKUP(B71, Logistics_Master!$A$2:$J$4, 4, FALSE)="Sea Vessel", "Sea Vessel (MR Tanker)", IF(VLOOKUP(B71, Logistics_Master!$A$2:$J$4, 4, FALSE)="Rail", ROUNDUP(H71/1200, 0) &amp; " Block Trains", "Pipeline Batch"))))</f>
        <v/>
      </c>
    </row>
    <row r="72" spans="1:10" x14ac:dyDescent="0.3">
      <c r="A72" s="3">
        <f>Raw_Flight_Data!A72</f>
        <v>45589</v>
      </c>
      <c r="B72" t="str">
        <f>Raw_Flight_Data!B72</f>
        <v>DUB</v>
      </c>
      <c r="C72">
        <f>Raw_Flight_Data!C72</f>
        <v>304</v>
      </c>
      <c r="D72">
        <f>C72 * VLOOKUP(B72, Logistics_Master!$A$2:$J$4, 5, FALSE)</f>
        <v>4864</v>
      </c>
      <c r="E72">
        <f>D72 * VLOOKUP(B72, Logistics_Master!$A$2:$J$4, 6, FALSE)</f>
        <v>24320</v>
      </c>
      <c r="F72">
        <f>IF(A72=MIN(Raw_Flight_Data!$A$2:$A$100), VLOOKUP(B72, Logistics_Master!$A$2:$J$4, 7, FALSE) * 0.8, SUMIFS($I$1:I71, $B$1:B71, B72, $A$1:A71, A72-1))</f>
        <v>45000</v>
      </c>
      <c r="G72">
        <f t="shared" si="2"/>
        <v>40136</v>
      </c>
      <c r="H72">
        <f>IF(G72 &lt;= E72, VLOOKUP(B72, Logistics_Master!$A$2:$J$4, 7, FALSE) - G72, 0)</f>
        <v>0</v>
      </c>
      <c r="I72">
        <f t="shared" si="3"/>
        <v>40136</v>
      </c>
      <c r="J72" t="str">
        <f>IF(H72=0, "", IF(VLOOKUP(B72, Logistics_Master!$A$2:$J$4, 4, FALSE)="Truck", ROUNDUP(H72/30, 0) &amp; " Trucks", IF(VLOOKUP(B72, Logistics_Master!$A$2:$J$4, 4, FALSE)="Sea Vessel", "Sea Vessel (MR Tanker)", IF(VLOOKUP(B72, Logistics_Master!$A$2:$J$4, 4, FALSE)="Rail", ROUNDUP(H72/1200, 0) &amp; " Block Trains", "Pipeline Batch"))))</f>
        <v/>
      </c>
    </row>
    <row r="73" spans="1:10" x14ac:dyDescent="0.3">
      <c r="A73" s="3">
        <f>Raw_Flight_Data!A73</f>
        <v>45589</v>
      </c>
      <c r="B73" t="str">
        <f>Raw_Flight_Data!B73</f>
        <v>GVA</v>
      </c>
      <c r="C73">
        <f>Raw_Flight_Data!C73</f>
        <v>216</v>
      </c>
      <c r="D73">
        <f>C73 * VLOOKUP(B73, Logistics_Master!$A$2:$J$4, 5, FALSE)</f>
        <v>2700</v>
      </c>
      <c r="E73">
        <f>D73 * VLOOKUP(B73, Logistics_Master!$A$2:$J$4, 6, FALSE)</f>
        <v>16200</v>
      </c>
      <c r="F73">
        <f>IF(A73=MIN(Raw_Flight_Data!$A$2:$A$100), VLOOKUP(B73, Logistics_Master!$A$2:$J$4, 7, FALSE) * 0.8, SUMIFS($I$1:I72, $B$1:B72, B73, $A$1:A72, A73-1))</f>
        <v>20462.5</v>
      </c>
      <c r="G73">
        <f t="shared" si="2"/>
        <v>17762.5</v>
      </c>
      <c r="H73">
        <f>IF(G73 &lt;= E73, VLOOKUP(B73, Logistics_Master!$A$2:$J$4, 7, FALSE) - G73, 0)</f>
        <v>0</v>
      </c>
      <c r="I73">
        <f t="shared" si="3"/>
        <v>17762.5</v>
      </c>
      <c r="J73" t="str">
        <f>IF(H73=0, "", IF(VLOOKUP(B73, Logistics_Master!$A$2:$J$4, 4, FALSE)="Truck", ROUNDUP(H73/30, 0) &amp; " Trucks", IF(VLOOKUP(B73, Logistics_Master!$A$2:$J$4, 4, FALSE)="Sea Vessel", "Sea Vessel (MR Tanker)", IF(VLOOKUP(B73, Logistics_Master!$A$2:$J$4, 4, FALSE)="Rail", ROUNDUP(H73/1200, 0) &amp; " Block Trains", "Pipeline Batch"))))</f>
        <v/>
      </c>
    </row>
    <row r="74" spans="1:10" x14ac:dyDescent="0.3">
      <c r="A74" s="3">
        <f>Raw_Flight_Data!A74</f>
        <v>45590</v>
      </c>
      <c r="B74" t="str">
        <f>Raw_Flight_Data!B74</f>
        <v>FRA</v>
      </c>
      <c r="C74">
        <f>Raw_Flight_Data!C74</f>
        <v>658</v>
      </c>
      <c r="D74">
        <f>C74 * VLOOKUP(B74, Logistics_Master!$A$2:$J$4, 5, FALSE)</f>
        <v>15792</v>
      </c>
      <c r="E74">
        <f>D74 * VLOOKUP(B74, Logistics_Master!$A$2:$J$4, 6, FALSE)</f>
        <v>63168</v>
      </c>
      <c r="F74">
        <f>IF(A74=MIN(Raw_Flight_Data!$A$2:$A$100), VLOOKUP(B74, Logistics_Master!$A$2:$J$4, 7, FALSE) * 0.8, SUMIFS($I$1:I73, $B$1:B73, B74, $A$1:A73, A74-1))</f>
        <v>109616</v>
      </c>
      <c r="G74">
        <f t="shared" si="2"/>
        <v>93824</v>
      </c>
      <c r="H74">
        <f>IF(G74 &lt;= E74, VLOOKUP(B74, Logistics_Master!$A$2:$J$4, 7, FALSE) - G74, 0)</f>
        <v>0</v>
      </c>
      <c r="I74">
        <f t="shared" si="3"/>
        <v>93824</v>
      </c>
      <c r="J74" t="str">
        <f>IF(H74=0, "", IF(VLOOKUP(B74, Logistics_Master!$A$2:$J$4, 4, FALSE)="Truck", ROUNDUP(H74/30, 0) &amp; " Trucks", IF(VLOOKUP(B74, Logistics_Master!$A$2:$J$4, 4, FALSE)="Sea Vessel", "Sea Vessel (MR Tanker)", IF(VLOOKUP(B74, Logistics_Master!$A$2:$J$4, 4, FALSE)="Rail", ROUNDUP(H74/1200, 0) &amp; " Block Trains", "Pipeline Batch"))))</f>
        <v/>
      </c>
    </row>
    <row r="75" spans="1:10" x14ac:dyDescent="0.3">
      <c r="A75" s="3">
        <f>Raw_Flight_Data!A75</f>
        <v>45590</v>
      </c>
      <c r="B75" t="str">
        <f>Raw_Flight_Data!B75</f>
        <v>DUB</v>
      </c>
      <c r="C75">
        <f>Raw_Flight_Data!C75</f>
        <v>320</v>
      </c>
      <c r="D75">
        <f>C75 * VLOOKUP(B75, Logistics_Master!$A$2:$J$4, 5, FALSE)</f>
        <v>5120</v>
      </c>
      <c r="E75">
        <f>D75 * VLOOKUP(B75, Logistics_Master!$A$2:$J$4, 6, FALSE)</f>
        <v>25600</v>
      </c>
      <c r="F75">
        <f>IF(A75=MIN(Raw_Flight_Data!$A$2:$A$100), VLOOKUP(B75, Logistics_Master!$A$2:$J$4, 7, FALSE) * 0.8, SUMIFS($I$1:I74, $B$1:B74, B75, $A$1:A74, A75-1))</f>
        <v>40136</v>
      </c>
      <c r="G75">
        <f t="shared" si="2"/>
        <v>35016</v>
      </c>
      <c r="H75">
        <f>IF(G75 &lt;= E75, VLOOKUP(B75, Logistics_Master!$A$2:$J$4, 7, FALSE) - G75, 0)</f>
        <v>0</v>
      </c>
      <c r="I75">
        <f t="shared" si="3"/>
        <v>35016</v>
      </c>
      <c r="J75" t="str">
        <f>IF(H75=0, "", IF(VLOOKUP(B75, Logistics_Master!$A$2:$J$4, 4, FALSE)="Truck", ROUNDUP(H75/30, 0) &amp; " Trucks", IF(VLOOKUP(B75, Logistics_Master!$A$2:$J$4, 4, FALSE)="Sea Vessel", "Sea Vessel (MR Tanker)", IF(VLOOKUP(B75, Logistics_Master!$A$2:$J$4, 4, FALSE)="Rail", ROUNDUP(H75/1200, 0) &amp; " Block Trains", "Pipeline Batch"))))</f>
        <v/>
      </c>
    </row>
    <row r="76" spans="1:10" x14ac:dyDescent="0.3">
      <c r="A76" s="3">
        <f>Raw_Flight_Data!A76</f>
        <v>45590</v>
      </c>
      <c r="B76" t="str">
        <f>Raw_Flight_Data!B76</f>
        <v>GVA</v>
      </c>
      <c r="C76">
        <f>Raw_Flight_Data!C76</f>
        <v>230</v>
      </c>
      <c r="D76">
        <f>C76 * VLOOKUP(B76, Logistics_Master!$A$2:$J$4, 5, FALSE)</f>
        <v>2875</v>
      </c>
      <c r="E76">
        <f>D76 * VLOOKUP(B76, Logistics_Master!$A$2:$J$4, 6, FALSE)</f>
        <v>17250</v>
      </c>
      <c r="F76">
        <f>IF(A76=MIN(Raw_Flight_Data!$A$2:$A$100), VLOOKUP(B76, Logistics_Master!$A$2:$J$4, 7, FALSE) * 0.8, SUMIFS($I$1:I75, $B$1:B75, B76, $A$1:A75, A76-1))</f>
        <v>17762.5</v>
      </c>
      <c r="G76">
        <f t="shared" si="2"/>
        <v>14887.5</v>
      </c>
      <c r="H76">
        <f>IF(G76 &lt;= E76, VLOOKUP(B76, Logistics_Master!$A$2:$J$4, 7, FALSE) - G76, 0)</f>
        <v>13112.5</v>
      </c>
      <c r="I76">
        <f t="shared" si="3"/>
        <v>28000</v>
      </c>
      <c r="J76" t="str">
        <f>IF(H76=0, "", IF(VLOOKUP(B76, Logistics_Master!$A$2:$J$4, 4, FALSE)="Truck", ROUNDUP(H76/30, 0) &amp; " Trucks", IF(VLOOKUP(B76, Logistics_Master!$A$2:$J$4, 4, FALSE)="Sea Vessel", "Sea Vessel (MR Tanker)", IF(VLOOKUP(B76, Logistics_Master!$A$2:$J$4, 4, FALSE)="Rail", ROUNDUP(H76/1200, 0) &amp; " Block Trains", "Pipeline Batch"))))</f>
        <v>11 Block Trains</v>
      </c>
    </row>
    <row r="77" spans="1:10" x14ac:dyDescent="0.3">
      <c r="A77" s="3">
        <f>Raw_Flight_Data!A77</f>
        <v>45591</v>
      </c>
      <c r="B77" t="str">
        <f>Raw_Flight_Data!B77</f>
        <v>FRA</v>
      </c>
      <c r="C77">
        <f>Raw_Flight_Data!C77</f>
        <v>585</v>
      </c>
      <c r="D77">
        <f>C77 * VLOOKUP(B77, Logistics_Master!$A$2:$J$4, 5, FALSE)</f>
        <v>14040</v>
      </c>
      <c r="E77">
        <f>D77 * VLOOKUP(B77, Logistics_Master!$A$2:$J$4, 6, FALSE)</f>
        <v>56160</v>
      </c>
      <c r="F77">
        <f>IF(A77=MIN(Raw_Flight_Data!$A$2:$A$100), VLOOKUP(B77, Logistics_Master!$A$2:$J$4, 7, FALSE) * 0.8, SUMIFS($I$1:I76, $B$1:B76, B77, $A$1:A76, A77-1))</f>
        <v>93824</v>
      </c>
      <c r="G77">
        <f t="shared" si="2"/>
        <v>79784</v>
      </c>
      <c r="H77">
        <f>IF(G77 &lt;= E77, VLOOKUP(B77, Logistics_Master!$A$2:$J$4, 7, FALSE) - G77, 0)</f>
        <v>0</v>
      </c>
      <c r="I77">
        <f t="shared" si="3"/>
        <v>79784</v>
      </c>
      <c r="J77" t="str">
        <f>IF(H77=0, "", IF(VLOOKUP(B77, Logistics_Master!$A$2:$J$4, 4, FALSE)="Truck", ROUNDUP(H77/30, 0) &amp; " Trucks", IF(VLOOKUP(B77, Logistics_Master!$A$2:$J$4, 4, FALSE)="Sea Vessel", "Sea Vessel (MR Tanker)", IF(VLOOKUP(B77, Logistics_Master!$A$2:$J$4, 4, FALSE)="Rail", ROUNDUP(H77/1200, 0) &amp; " Block Trains", "Pipeline Batch"))))</f>
        <v/>
      </c>
    </row>
    <row r="78" spans="1:10" x14ac:dyDescent="0.3">
      <c r="A78" s="3">
        <f>Raw_Flight_Data!A78</f>
        <v>45591</v>
      </c>
      <c r="B78" t="str">
        <f>Raw_Flight_Data!B78</f>
        <v>DUB</v>
      </c>
      <c r="C78">
        <f>Raw_Flight_Data!C78</f>
        <v>272</v>
      </c>
      <c r="D78">
        <f>C78 * VLOOKUP(B78, Logistics_Master!$A$2:$J$4, 5, FALSE)</f>
        <v>4352</v>
      </c>
      <c r="E78">
        <f>D78 * VLOOKUP(B78, Logistics_Master!$A$2:$J$4, 6, FALSE)</f>
        <v>21760</v>
      </c>
      <c r="F78">
        <f>IF(A78=MIN(Raw_Flight_Data!$A$2:$A$100), VLOOKUP(B78, Logistics_Master!$A$2:$J$4, 7, FALSE) * 0.8, SUMIFS($I$1:I77, $B$1:B77, B78, $A$1:A77, A78-1))</f>
        <v>35016</v>
      </c>
      <c r="G78">
        <f t="shared" si="2"/>
        <v>30664</v>
      </c>
      <c r="H78">
        <f>IF(G78 &lt;= E78, VLOOKUP(B78, Logistics_Master!$A$2:$J$4, 7, FALSE) - G78, 0)</f>
        <v>0</v>
      </c>
      <c r="I78">
        <f t="shared" si="3"/>
        <v>30664</v>
      </c>
      <c r="J78" t="str">
        <f>IF(H78=0, "", IF(VLOOKUP(B78, Logistics_Master!$A$2:$J$4, 4, FALSE)="Truck", ROUNDUP(H78/30, 0) &amp; " Trucks", IF(VLOOKUP(B78, Logistics_Master!$A$2:$J$4, 4, FALSE)="Sea Vessel", "Sea Vessel (MR Tanker)", IF(VLOOKUP(B78, Logistics_Master!$A$2:$J$4, 4, FALSE)="Rail", ROUNDUP(H78/1200, 0) &amp; " Block Trains", "Pipeline Batch"))))</f>
        <v/>
      </c>
    </row>
    <row r="79" spans="1:10" x14ac:dyDescent="0.3">
      <c r="A79" s="3">
        <f>Raw_Flight_Data!A79</f>
        <v>45591</v>
      </c>
      <c r="B79" t="str">
        <f>Raw_Flight_Data!B79</f>
        <v>GVA</v>
      </c>
      <c r="C79">
        <f>Raw_Flight_Data!C79</f>
        <v>192</v>
      </c>
      <c r="D79">
        <f>C79 * VLOOKUP(B79, Logistics_Master!$A$2:$J$4, 5, FALSE)</f>
        <v>2400</v>
      </c>
      <c r="E79">
        <f>D79 * VLOOKUP(B79, Logistics_Master!$A$2:$J$4, 6, FALSE)</f>
        <v>14400</v>
      </c>
      <c r="F79">
        <f>IF(A79=MIN(Raw_Flight_Data!$A$2:$A$100), VLOOKUP(B79, Logistics_Master!$A$2:$J$4, 7, FALSE) * 0.8, SUMIFS($I$1:I78, $B$1:B78, B79, $A$1:A78, A79-1))</f>
        <v>28000</v>
      </c>
      <c r="G79">
        <f t="shared" si="2"/>
        <v>25600</v>
      </c>
      <c r="H79">
        <f>IF(G79 &lt;= E79, VLOOKUP(B79, Logistics_Master!$A$2:$J$4, 7, FALSE) - G79, 0)</f>
        <v>0</v>
      </c>
      <c r="I79">
        <f t="shared" si="3"/>
        <v>25600</v>
      </c>
      <c r="J79" t="str">
        <f>IF(H79=0, "", IF(VLOOKUP(B79, Logistics_Master!$A$2:$J$4, 4, FALSE)="Truck", ROUNDUP(H79/30, 0) &amp; " Trucks", IF(VLOOKUP(B79, Logistics_Master!$A$2:$J$4, 4, FALSE)="Sea Vessel", "Sea Vessel (MR Tanker)", IF(VLOOKUP(B79, Logistics_Master!$A$2:$J$4, 4, FALSE)="Rail", ROUNDUP(H79/1200, 0) &amp; " Block Trains", "Pipeline Batch"))))</f>
        <v/>
      </c>
    </row>
    <row r="80" spans="1:10" x14ac:dyDescent="0.3">
      <c r="A80" s="3">
        <f>Raw_Flight_Data!A80</f>
        <v>45592</v>
      </c>
      <c r="B80" t="str">
        <f>Raw_Flight_Data!B80</f>
        <v>FRA</v>
      </c>
      <c r="C80">
        <f>Raw_Flight_Data!C80</f>
        <v>638</v>
      </c>
      <c r="D80">
        <f>C80 * VLOOKUP(B80, Logistics_Master!$A$2:$J$4, 5, FALSE)</f>
        <v>15312</v>
      </c>
      <c r="E80">
        <f>D80 * VLOOKUP(B80, Logistics_Master!$A$2:$J$4, 6, FALSE)</f>
        <v>61248</v>
      </c>
      <c r="F80">
        <f>IF(A80=MIN(Raw_Flight_Data!$A$2:$A$100), VLOOKUP(B80, Logistics_Master!$A$2:$J$4, 7, FALSE) * 0.8, SUMIFS($I$1:I79, $B$1:B79, B80, $A$1:A79, A80-1))</f>
        <v>79784</v>
      </c>
      <c r="G80">
        <f t="shared" si="2"/>
        <v>64472</v>
      </c>
      <c r="H80">
        <f>IF(G80 &lt;= E80, VLOOKUP(B80, Logistics_Master!$A$2:$J$4, 7, FALSE) - G80, 0)</f>
        <v>0</v>
      </c>
      <c r="I80">
        <f t="shared" si="3"/>
        <v>64472</v>
      </c>
      <c r="J80" t="str">
        <f>IF(H80=0, "", IF(VLOOKUP(B80, Logistics_Master!$A$2:$J$4, 4, FALSE)="Truck", ROUNDUP(H80/30, 0) &amp; " Trucks", IF(VLOOKUP(B80, Logistics_Master!$A$2:$J$4, 4, FALSE)="Sea Vessel", "Sea Vessel (MR Tanker)", IF(VLOOKUP(B80, Logistics_Master!$A$2:$J$4, 4, FALSE)="Rail", ROUNDUP(H80/1200, 0) &amp; " Block Trains", "Pipeline Batch"))))</f>
        <v/>
      </c>
    </row>
    <row r="81" spans="1:10" x14ac:dyDescent="0.3">
      <c r="A81" s="3">
        <f>Raw_Flight_Data!A81</f>
        <v>45592</v>
      </c>
      <c r="B81" t="str">
        <f>Raw_Flight_Data!B81</f>
        <v>DUB</v>
      </c>
      <c r="C81">
        <f>Raw_Flight_Data!C81</f>
        <v>312</v>
      </c>
      <c r="D81">
        <f>C81 * VLOOKUP(B81, Logistics_Master!$A$2:$J$4, 5, FALSE)</f>
        <v>4992</v>
      </c>
      <c r="E81">
        <f>D81 * VLOOKUP(B81, Logistics_Master!$A$2:$J$4, 6, FALSE)</f>
        <v>24960</v>
      </c>
      <c r="F81">
        <f>IF(A81=MIN(Raw_Flight_Data!$A$2:$A$100), VLOOKUP(B81, Logistics_Master!$A$2:$J$4, 7, FALSE) * 0.8, SUMIFS($I$1:I80, $B$1:B80, B81, $A$1:A80, A81-1))</f>
        <v>30664</v>
      </c>
      <c r="G81">
        <f t="shared" si="2"/>
        <v>25672</v>
      </c>
      <c r="H81">
        <f>IF(G81 &lt;= E81, VLOOKUP(B81, Logistics_Master!$A$2:$J$4, 7, FALSE) - G81, 0)</f>
        <v>0</v>
      </c>
      <c r="I81">
        <f t="shared" si="3"/>
        <v>25672</v>
      </c>
      <c r="J81" t="str">
        <f>IF(H81=0, "", IF(VLOOKUP(B81, Logistics_Master!$A$2:$J$4, 4, FALSE)="Truck", ROUNDUP(H81/30, 0) &amp; " Trucks", IF(VLOOKUP(B81, Logistics_Master!$A$2:$J$4, 4, FALSE)="Sea Vessel", "Sea Vessel (MR Tanker)", IF(VLOOKUP(B81, Logistics_Master!$A$2:$J$4, 4, FALSE)="Rail", ROUNDUP(H81/1200, 0) &amp; " Block Trains", "Pipeline Batch"))))</f>
        <v/>
      </c>
    </row>
    <row r="82" spans="1:10" x14ac:dyDescent="0.3">
      <c r="A82" s="3">
        <f>Raw_Flight_Data!A82</f>
        <v>45592</v>
      </c>
      <c r="B82" t="str">
        <f>Raw_Flight_Data!B82</f>
        <v>GVA</v>
      </c>
      <c r="C82">
        <f>Raw_Flight_Data!C82</f>
        <v>222</v>
      </c>
      <c r="D82">
        <f>C82 * VLOOKUP(B82, Logistics_Master!$A$2:$J$4, 5, FALSE)</f>
        <v>2775</v>
      </c>
      <c r="E82">
        <f>D82 * VLOOKUP(B82, Logistics_Master!$A$2:$J$4, 6, FALSE)</f>
        <v>16650</v>
      </c>
      <c r="F82">
        <f>IF(A82=MIN(Raw_Flight_Data!$A$2:$A$100), VLOOKUP(B82, Logistics_Master!$A$2:$J$4, 7, FALSE) * 0.8, SUMIFS($I$1:I81, $B$1:B81, B82, $A$1:A81, A82-1))</f>
        <v>25600</v>
      </c>
      <c r="G82">
        <f t="shared" si="2"/>
        <v>22825</v>
      </c>
      <c r="H82">
        <f>IF(G82 &lt;= E82, VLOOKUP(B82, Logistics_Master!$A$2:$J$4, 7, FALSE) - G82, 0)</f>
        <v>0</v>
      </c>
      <c r="I82">
        <f t="shared" si="3"/>
        <v>22825</v>
      </c>
      <c r="J82" t="str">
        <f>IF(H82=0, "", IF(VLOOKUP(B82, Logistics_Master!$A$2:$J$4, 4, FALSE)="Truck", ROUNDUP(H82/30, 0) &amp; " Trucks", IF(VLOOKUP(B82, Logistics_Master!$A$2:$J$4, 4, FALSE)="Sea Vessel", "Sea Vessel (MR Tanker)", IF(VLOOKUP(B82, Logistics_Master!$A$2:$J$4, 4, FALSE)="Rail", ROUNDUP(H82/1200, 0) &amp; " Block Trains", "Pipeline Batch"))))</f>
        <v/>
      </c>
    </row>
    <row r="83" spans="1:10" x14ac:dyDescent="0.3">
      <c r="A83" s="3">
        <f>Raw_Flight_Data!A83</f>
        <v>45593</v>
      </c>
      <c r="B83" t="str">
        <f>Raw_Flight_Data!B83</f>
        <v>FRA</v>
      </c>
      <c r="C83">
        <f>Raw_Flight_Data!C83</f>
        <v>616</v>
      </c>
      <c r="D83">
        <f>C83 * VLOOKUP(B83, Logistics_Master!$A$2:$J$4, 5, FALSE)</f>
        <v>14784</v>
      </c>
      <c r="E83">
        <f>D83 * VLOOKUP(B83, Logistics_Master!$A$2:$J$4, 6, FALSE)</f>
        <v>59136</v>
      </c>
      <c r="F83">
        <f>IF(A83=MIN(Raw_Flight_Data!$A$2:$A$100), VLOOKUP(B83, Logistics_Master!$A$2:$J$4, 7, FALSE) * 0.8, SUMIFS($I$1:I82, $B$1:B82, B83, $A$1:A82, A83-1))</f>
        <v>64472</v>
      </c>
      <c r="G83">
        <f t="shared" si="2"/>
        <v>49688</v>
      </c>
      <c r="H83">
        <f>IF(G83 &lt;= E83, VLOOKUP(B83, Logistics_Master!$A$2:$J$4, 7, FALSE) - G83, 0)</f>
        <v>90312</v>
      </c>
      <c r="I83">
        <f t="shared" si="3"/>
        <v>140000</v>
      </c>
      <c r="J83" t="str">
        <f>IF(H83=0, "", IF(VLOOKUP(B83, Logistics_Master!$A$2:$J$4, 4, FALSE)="Truck", ROUNDUP(H83/30, 0) &amp; " Trucks", IF(VLOOKUP(B83, Logistics_Master!$A$2:$J$4, 4, FALSE)="Sea Vessel", "Sea Vessel (MR Tanker)", IF(VLOOKUP(B83, Logistics_Master!$A$2:$J$4, 4, FALSE)="Rail", ROUNDUP(H83/1200, 0) &amp; " Block Trains", "Pipeline Batch"))))</f>
        <v>Pipeline Batch</v>
      </c>
    </row>
    <row r="84" spans="1:10" x14ac:dyDescent="0.3">
      <c r="A84" s="3">
        <f>Raw_Flight_Data!A84</f>
        <v>45593</v>
      </c>
      <c r="B84" t="str">
        <f>Raw_Flight_Data!B84</f>
        <v>DUB</v>
      </c>
      <c r="C84">
        <f>Raw_Flight_Data!C84</f>
        <v>286</v>
      </c>
      <c r="D84">
        <f>C84 * VLOOKUP(B84, Logistics_Master!$A$2:$J$4, 5, FALSE)</f>
        <v>4576</v>
      </c>
      <c r="E84">
        <f>D84 * VLOOKUP(B84, Logistics_Master!$A$2:$J$4, 6, FALSE)</f>
        <v>22880</v>
      </c>
      <c r="F84">
        <f>IF(A84=MIN(Raw_Flight_Data!$A$2:$A$100), VLOOKUP(B84, Logistics_Master!$A$2:$J$4, 7, FALSE) * 0.8, SUMIFS($I$1:I83, $B$1:B83, B84, $A$1:A83, A84-1))</f>
        <v>25672</v>
      </c>
      <c r="G84">
        <f t="shared" si="2"/>
        <v>21096</v>
      </c>
      <c r="H84">
        <f>IF(G84 &lt;= E84, VLOOKUP(B84, Logistics_Master!$A$2:$J$4, 7, FALSE) - G84, 0)</f>
        <v>23904</v>
      </c>
      <c r="I84">
        <f t="shared" si="3"/>
        <v>45000</v>
      </c>
      <c r="J84" t="str">
        <f>IF(H84=0, "", IF(VLOOKUP(B84, Logistics_Master!$A$2:$J$4, 4, FALSE)="Truck", ROUNDUP(H84/30, 0) &amp; " Trucks", IF(VLOOKUP(B84, Logistics_Master!$A$2:$J$4, 4, FALSE)="Sea Vessel", "Sea Vessel (MR Tanker)", IF(VLOOKUP(B84, Logistics_Master!$A$2:$J$4, 4, FALSE)="Rail", ROUNDUP(H84/1200, 0) &amp; " Block Trains", "Pipeline Batch"))))</f>
        <v>Sea Vessel (MR Tanker)</v>
      </c>
    </row>
    <row r="85" spans="1:10" x14ac:dyDescent="0.3">
      <c r="A85" s="3">
        <f>Raw_Flight_Data!A85</f>
        <v>45593</v>
      </c>
      <c r="B85" t="str">
        <f>Raw_Flight_Data!B85</f>
        <v>GVA</v>
      </c>
      <c r="C85">
        <f>Raw_Flight_Data!C85</f>
        <v>198</v>
      </c>
      <c r="D85">
        <f>C85 * VLOOKUP(B85, Logistics_Master!$A$2:$J$4, 5, FALSE)</f>
        <v>2475</v>
      </c>
      <c r="E85">
        <f>D85 * VLOOKUP(B85, Logistics_Master!$A$2:$J$4, 6, FALSE)</f>
        <v>14850</v>
      </c>
      <c r="F85">
        <f>IF(A85=MIN(Raw_Flight_Data!$A$2:$A$100), VLOOKUP(B85, Logistics_Master!$A$2:$J$4, 7, FALSE) * 0.8, SUMIFS($I$1:I84, $B$1:B84, B85, $A$1:A84, A85-1))</f>
        <v>22825</v>
      </c>
      <c r="G85">
        <f t="shared" si="2"/>
        <v>20350</v>
      </c>
      <c r="H85">
        <f>IF(G85 &lt;= E85, VLOOKUP(B85, Logistics_Master!$A$2:$J$4, 7, FALSE) - G85, 0)</f>
        <v>0</v>
      </c>
      <c r="I85">
        <f t="shared" si="3"/>
        <v>20350</v>
      </c>
      <c r="J85" t="str">
        <f>IF(H85=0, "", IF(VLOOKUP(B85, Logistics_Master!$A$2:$J$4, 4, FALSE)="Truck", ROUNDUP(H85/30, 0) &amp; " Trucks", IF(VLOOKUP(B85, Logistics_Master!$A$2:$J$4, 4, FALSE)="Sea Vessel", "Sea Vessel (MR Tanker)", IF(VLOOKUP(B85, Logistics_Master!$A$2:$J$4, 4, FALSE)="Rail", ROUNDUP(H85/1200, 0) &amp; " Block Trains", "Pipeline Batch"))))</f>
        <v/>
      </c>
    </row>
    <row r="86" spans="1:10" x14ac:dyDescent="0.3">
      <c r="A86" s="3">
        <f>Raw_Flight_Data!A86</f>
        <v>45594</v>
      </c>
      <c r="B86" t="str">
        <f>Raw_Flight_Data!B86</f>
        <v>FRA</v>
      </c>
      <c r="C86">
        <f>Raw_Flight_Data!C86</f>
        <v>621</v>
      </c>
      <c r="D86">
        <f>C86 * VLOOKUP(B86, Logistics_Master!$A$2:$J$4, 5, FALSE)</f>
        <v>14904</v>
      </c>
      <c r="E86">
        <f>D86 * VLOOKUP(B86, Logistics_Master!$A$2:$J$4, 6, FALSE)</f>
        <v>59616</v>
      </c>
      <c r="F86">
        <f>IF(A86=MIN(Raw_Flight_Data!$A$2:$A$100), VLOOKUP(B86, Logistics_Master!$A$2:$J$4, 7, FALSE) * 0.8, SUMIFS($I$1:I85, $B$1:B85, B86, $A$1:A85, A86-1))</f>
        <v>140000</v>
      </c>
      <c r="G86">
        <f t="shared" si="2"/>
        <v>125096</v>
      </c>
      <c r="H86">
        <f>IF(G86 &lt;= E86, VLOOKUP(B86, Logistics_Master!$A$2:$J$4, 7, FALSE) - G86, 0)</f>
        <v>0</v>
      </c>
      <c r="I86">
        <f t="shared" si="3"/>
        <v>125096</v>
      </c>
      <c r="J86" t="str">
        <f>IF(H86=0, "", IF(VLOOKUP(B86, Logistics_Master!$A$2:$J$4, 4, FALSE)="Truck", ROUNDUP(H86/30, 0) &amp; " Trucks", IF(VLOOKUP(B86, Logistics_Master!$A$2:$J$4, 4, FALSE)="Sea Vessel", "Sea Vessel (MR Tanker)", IF(VLOOKUP(B86, Logistics_Master!$A$2:$J$4, 4, FALSE)="Rail", ROUNDUP(H86/1200, 0) &amp; " Block Trains", "Pipeline Batch"))))</f>
        <v/>
      </c>
    </row>
    <row r="87" spans="1:10" x14ac:dyDescent="0.3">
      <c r="A87" s="3">
        <f>Raw_Flight_Data!A87</f>
        <v>45594</v>
      </c>
      <c r="B87" t="str">
        <f>Raw_Flight_Data!B87</f>
        <v>DUB</v>
      </c>
      <c r="C87">
        <f>Raw_Flight_Data!C87</f>
        <v>290</v>
      </c>
      <c r="D87">
        <f>C87 * VLOOKUP(B87, Logistics_Master!$A$2:$J$4, 5, FALSE)</f>
        <v>4640</v>
      </c>
      <c r="E87">
        <f>D87 * VLOOKUP(B87, Logistics_Master!$A$2:$J$4, 6, FALSE)</f>
        <v>23200</v>
      </c>
      <c r="F87">
        <f>IF(A87=MIN(Raw_Flight_Data!$A$2:$A$100), VLOOKUP(B87, Logistics_Master!$A$2:$J$4, 7, FALSE) * 0.8, SUMIFS($I$1:I86, $B$1:B86, B87, $A$1:A86, A87-1))</f>
        <v>45000</v>
      </c>
      <c r="G87">
        <f t="shared" si="2"/>
        <v>40360</v>
      </c>
      <c r="H87">
        <f>IF(G87 &lt;= E87, VLOOKUP(B87, Logistics_Master!$A$2:$J$4, 7, FALSE) - G87, 0)</f>
        <v>0</v>
      </c>
      <c r="I87">
        <f t="shared" si="3"/>
        <v>40360</v>
      </c>
      <c r="J87" t="str">
        <f>IF(H87=0, "", IF(VLOOKUP(B87, Logistics_Master!$A$2:$J$4, 4, FALSE)="Truck", ROUNDUP(H87/30, 0) &amp; " Trucks", IF(VLOOKUP(B87, Logistics_Master!$A$2:$J$4, 4, FALSE)="Sea Vessel", "Sea Vessel (MR Tanker)", IF(VLOOKUP(B87, Logistics_Master!$A$2:$J$4, 4, FALSE)="Rail", ROUNDUP(H87/1200, 0) &amp; " Block Trains", "Pipeline Batch"))))</f>
        <v/>
      </c>
    </row>
    <row r="88" spans="1:10" x14ac:dyDescent="0.3">
      <c r="A88" s="3">
        <f>Raw_Flight_Data!A88</f>
        <v>45594</v>
      </c>
      <c r="B88" t="str">
        <f>Raw_Flight_Data!B88</f>
        <v>GVA</v>
      </c>
      <c r="C88">
        <f>Raw_Flight_Data!C88</f>
        <v>202</v>
      </c>
      <c r="D88">
        <f>C88 * VLOOKUP(B88, Logistics_Master!$A$2:$J$4, 5, FALSE)</f>
        <v>2525</v>
      </c>
      <c r="E88">
        <f>D88 * VLOOKUP(B88, Logistics_Master!$A$2:$J$4, 6, FALSE)</f>
        <v>15150</v>
      </c>
      <c r="F88">
        <f>IF(A88=MIN(Raw_Flight_Data!$A$2:$A$100), VLOOKUP(B88, Logistics_Master!$A$2:$J$4, 7, FALSE) * 0.8, SUMIFS($I$1:I87, $B$1:B87, B88, $A$1:A87, A88-1))</f>
        <v>20350</v>
      </c>
      <c r="G88">
        <f t="shared" si="2"/>
        <v>17825</v>
      </c>
      <c r="H88">
        <f>IF(G88 &lt;= E88, VLOOKUP(B88, Logistics_Master!$A$2:$J$4, 7, FALSE) - G88, 0)</f>
        <v>0</v>
      </c>
      <c r="I88">
        <f t="shared" si="3"/>
        <v>17825</v>
      </c>
      <c r="J88" t="str">
        <f>IF(H88=0, "", IF(VLOOKUP(B88, Logistics_Master!$A$2:$J$4, 4, FALSE)="Truck", ROUNDUP(H88/30, 0) &amp; " Trucks", IF(VLOOKUP(B88, Logistics_Master!$A$2:$J$4, 4, FALSE)="Sea Vessel", "Sea Vessel (MR Tanker)", IF(VLOOKUP(B88, Logistics_Master!$A$2:$J$4, 4, FALSE)="Rail", ROUNDUP(H88/1200, 0) &amp; " Block Trains", "Pipeline Batch"))))</f>
        <v/>
      </c>
    </row>
    <row r="89" spans="1:10" x14ac:dyDescent="0.3">
      <c r="A89" s="3">
        <f>Raw_Flight_Data!A89</f>
        <v>45595</v>
      </c>
      <c r="B89" t="str">
        <f>Raw_Flight_Data!B89</f>
        <v>FRA</v>
      </c>
      <c r="C89">
        <f>Raw_Flight_Data!C89</f>
        <v>628</v>
      </c>
      <c r="D89">
        <f>C89 * VLOOKUP(B89, Logistics_Master!$A$2:$J$4, 5, FALSE)</f>
        <v>15072</v>
      </c>
      <c r="E89">
        <f>D89 * VLOOKUP(B89, Logistics_Master!$A$2:$J$4, 6, FALSE)</f>
        <v>60288</v>
      </c>
      <c r="F89">
        <f>IF(A89=MIN(Raw_Flight_Data!$A$2:$A$100), VLOOKUP(B89, Logistics_Master!$A$2:$J$4, 7, FALSE) * 0.8, SUMIFS($I$1:I88, $B$1:B88, B89, $A$1:A88, A89-1))</f>
        <v>125096</v>
      </c>
      <c r="G89">
        <f t="shared" si="2"/>
        <v>110024</v>
      </c>
      <c r="H89">
        <f>IF(G89 &lt;= E89, VLOOKUP(B89, Logistics_Master!$A$2:$J$4, 7, FALSE) - G89, 0)</f>
        <v>0</v>
      </c>
      <c r="I89">
        <f t="shared" si="3"/>
        <v>110024</v>
      </c>
      <c r="J89" t="str">
        <f>IF(H89=0, "", IF(VLOOKUP(B89, Logistics_Master!$A$2:$J$4, 4, FALSE)="Truck", ROUNDUP(H89/30, 0) &amp; " Trucks", IF(VLOOKUP(B89, Logistics_Master!$A$2:$J$4, 4, FALSE)="Sea Vessel", "Sea Vessel (MR Tanker)", IF(VLOOKUP(B89, Logistics_Master!$A$2:$J$4, 4, FALSE)="Rail", ROUNDUP(H89/1200, 0) &amp; " Block Trains", "Pipeline Batch"))))</f>
        <v/>
      </c>
    </row>
    <row r="90" spans="1:10" x14ac:dyDescent="0.3">
      <c r="A90" s="3">
        <f>Raw_Flight_Data!A90</f>
        <v>45595</v>
      </c>
      <c r="B90" t="str">
        <f>Raw_Flight_Data!B90</f>
        <v>DUB</v>
      </c>
      <c r="C90">
        <f>Raw_Flight_Data!C90</f>
        <v>296</v>
      </c>
      <c r="D90">
        <f>C90 * VLOOKUP(B90, Logistics_Master!$A$2:$J$4, 5, FALSE)</f>
        <v>4736</v>
      </c>
      <c r="E90">
        <f>D90 * VLOOKUP(B90, Logistics_Master!$A$2:$J$4, 6, FALSE)</f>
        <v>23680</v>
      </c>
      <c r="F90">
        <f>IF(A90=MIN(Raw_Flight_Data!$A$2:$A$100), VLOOKUP(B90, Logistics_Master!$A$2:$J$4, 7, FALSE) * 0.8, SUMIFS($I$1:I89, $B$1:B89, B90, $A$1:A89, A90-1))</f>
        <v>40360</v>
      </c>
      <c r="G90">
        <f t="shared" si="2"/>
        <v>35624</v>
      </c>
      <c r="H90">
        <f>IF(G90 &lt;= E90, VLOOKUP(B90, Logistics_Master!$A$2:$J$4, 7, FALSE) - G90, 0)</f>
        <v>0</v>
      </c>
      <c r="I90">
        <f t="shared" si="3"/>
        <v>35624</v>
      </c>
      <c r="J90" t="str">
        <f>IF(H90=0, "", IF(VLOOKUP(B90, Logistics_Master!$A$2:$J$4, 4, FALSE)="Truck", ROUNDUP(H90/30, 0) &amp; " Trucks", IF(VLOOKUP(B90, Logistics_Master!$A$2:$J$4, 4, FALSE)="Sea Vessel", "Sea Vessel (MR Tanker)", IF(VLOOKUP(B90, Logistics_Master!$A$2:$J$4, 4, FALSE)="Rail", ROUNDUP(H90/1200, 0) &amp; " Block Trains", "Pipeline Batch"))))</f>
        <v/>
      </c>
    </row>
    <row r="91" spans="1:10" x14ac:dyDescent="0.3">
      <c r="A91" s="3">
        <f>Raw_Flight_Data!A91</f>
        <v>45595</v>
      </c>
      <c r="B91" t="str">
        <f>Raw_Flight_Data!B91</f>
        <v>GVA</v>
      </c>
      <c r="C91">
        <f>Raw_Flight_Data!C91</f>
        <v>206</v>
      </c>
      <c r="D91">
        <f>C91 * VLOOKUP(B91, Logistics_Master!$A$2:$J$4, 5, FALSE)</f>
        <v>2575</v>
      </c>
      <c r="E91">
        <f>D91 * VLOOKUP(B91, Logistics_Master!$A$2:$J$4, 6, FALSE)</f>
        <v>15450</v>
      </c>
      <c r="F91">
        <f>IF(A91=MIN(Raw_Flight_Data!$A$2:$A$100), VLOOKUP(B91, Logistics_Master!$A$2:$J$4, 7, FALSE) * 0.8, SUMIFS($I$1:I90, $B$1:B90, B91, $A$1:A90, A91-1))</f>
        <v>17825</v>
      </c>
      <c r="G91">
        <f t="shared" si="2"/>
        <v>15250</v>
      </c>
      <c r="H91">
        <f>IF(G91 &lt;= E91, VLOOKUP(B91, Logistics_Master!$A$2:$J$4, 7, FALSE) - G91, 0)</f>
        <v>12750</v>
      </c>
      <c r="I91">
        <f t="shared" si="3"/>
        <v>28000</v>
      </c>
      <c r="J91" t="str">
        <f>IF(H91=0, "", IF(VLOOKUP(B91, Logistics_Master!$A$2:$J$4, 4, FALSE)="Truck", ROUNDUP(H91/30, 0) &amp; " Trucks", IF(VLOOKUP(B91, Logistics_Master!$A$2:$J$4, 4, FALSE)="Sea Vessel", "Sea Vessel (MR Tanker)", IF(VLOOKUP(B91, Logistics_Master!$A$2:$J$4, 4, FALSE)="Rail", ROUNDUP(H91/1200, 0) &amp; " Block Trains", "Pipeline Batch"))))</f>
        <v>11 Block Trains</v>
      </c>
    </row>
  </sheetData>
  <autoFilter ref="A1:J91" xr:uid="{165B798C-DE98-464E-87C6-D34B2C95030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0DDF-2DD3-45FF-8A1E-FA5D716B90E3}">
  <dimension ref="A1:J34"/>
  <sheetViews>
    <sheetView tabSelected="1" topLeftCell="A2" workbookViewId="0">
      <selection activeCell="U51" sqref="U51"/>
    </sheetView>
  </sheetViews>
  <sheetFormatPr defaultRowHeight="14.4" x14ac:dyDescent="0.3"/>
  <cols>
    <col min="1" max="1" width="10.5546875" bestFit="1" customWidth="1"/>
    <col min="2" max="2" width="17.44140625" bestFit="1" customWidth="1"/>
    <col min="3" max="3" width="14.44140625" bestFit="1" customWidth="1"/>
    <col min="4" max="5" width="6" bestFit="1" customWidth="1"/>
    <col min="6" max="6" width="13.21875" bestFit="1" customWidth="1"/>
    <col min="7" max="7" width="26" bestFit="1" customWidth="1"/>
    <col min="8" max="8" width="14.77734375" bestFit="1" customWidth="1"/>
    <col min="9" max="9" width="20.5546875" bestFit="1" customWidth="1"/>
    <col min="10" max="10" width="11.44140625" customWidth="1"/>
    <col min="11" max="12" width="6" bestFit="1" customWidth="1"/>
    <col min="13" max="13" width="8" bestFit="1" customWidth="1"/>
    <col min="14" max="16" width="6" bestFit="1" customWidth="1"/>
    <col min="17" max="17" width="8" bestFit="1" customWidth="1"/>
    <col min="18" max="21" width="6" bestFit="1" customWidth="1"/>
    <col min="22" max="22" width="8" bestFit="1" customWidth="1"/>
    <col min="23" max="64" width="6" bestFit="1" customWidth="1"/>
    <col min="65" max="75" width="7" bestFit="1" customWidth="1"/>
    <col min="76" max="76" width="10.5546875" bestFit="1" customWidth="1"/>
  </cols>
  <sheetData>
    <row r="1" spans="1:10" hidden="1" x14ac:dyDescent="0.3">
      <c r="A1" s="4" t="s">
        <v>28</v>
      </c>
      <c r="B1" t="s">
        <v>19</v>
      </c>
      <c r="C1" s="9"/>
      <c r="D1" s="9"/>
      <c r="E1" s="9"/>
      <c r="F1" s="4" t="s">
        <v>44</v>
      </c>
      <c r="G1" t="s">
        <v>48</v>
      </c>
      <c r="I1" s="10"/>
      <c r="J1" s="10"/>
    </row>
    <row r="3" spans="1:10" ht="15" hidden="1" customHeight="1" x14ac:dyDescent="0.3">
      <c r="A3" s="7" t="s">
        <v>22</v>
      </c>
      <c r="B3" s="8" t="s">
        <v>42</v>
      </c>
      <c r="C3" s="8" t="s">
        <v>43</v>
      </c>
      <c r="F3" s="7" t="s">
        <v>45</v>
      </c>
      <c r="G3" s="8" t="s">
        <v>46</v>
      </c>
      <c r="H3" s="8" t="s">
        <v>47</v>
      </c>
    </row>
    <row r="4" spans="1:10" hidden="1" x14ac:dyDescent="0.3">
      <c r="A4" s="5">
        <v>45566</v>
      </c>
      <c r="B4" s="6">
        <v>19925</v>
      </c>
      <c r="C4" s="6">
        <v>14850</v>
      </c>
      <c r="F4" s="5">
        <v>45581</v>
      </c>
      <c r="G4" s="6">
        <v>74.22</v>
      </c>
      <c r="H4" s="6">
        <v>691.25</v>
      </c>
    </row>
    <row r="5" spans="1:10" hidden="1" x14ac:dyDescent="0.3">
      <c r="A5" s="5">
        <v>45567</v>
      </c>
      <c r="B5" s="6">
        <v>17400</v>
      </c>
      <c r="C5" s="6">
        <v>15150</v>
      </c>
      <c r="F5" s="5">
        <v>45583</v>
      </c>
      <c r="G5" s="6">
        <v>73.06</v>
      </c>
      <c r="H5" s="6">
        <v>680.98</v>
      </c>
    </row>
    <row r="6" spans="1:10" hidden="1" x14ac:dyDescent="0.3">
      <c r="A6" s="5">
        <v>45568</v>
      </c>
      <c r="B6" s="6">
        <v>28000</v>
      </c>
      <c r="C6" s="6">
        <v>15750</v>
      </c>
      <c r="F6" s="5">
        <v>45584</v>
      </c>
      <c r="G6" s="6">
        <v>73.06</v>
      </c>
      <c r="H6" s="6">
        <v>680.98</v>
      </c>
    </row>
    <row r="7" spans="1:10" hidden="1" x14ac:dyDescent="0.3">
      <c r="A7" s="5">
        <v>45569</v>
      </c>
      <c r="B7" s="6">
        <v>25200</v>
      </c>
      <c r="C7" s="6">
        <v>16800</v>
      </c>
      <c r="F7" s="5">
        <v>45585</v>
      </c>
      <c r="G7" s="6">
        <v>73.06</v>
      </c>
      <c r="H7" s="6">
        <v>680.98</v>
      </c>
    </row>
    <row r="8" spans="1:10" hidden="1" x14ac:dyDescent="0.3">
      <c r="A8" s="5">
        <v>45570</v>
      </c>
      <c r="B8" s="6">
        <v>22887.5</v>
      </c>
      <c r="C8" s="6">
        <v>13875</v>
      </c>
      <c r="F8" s="5">
        <v>45593</v>
      </c>
      <c r="G8" s="6">
        <v>71.42</v>
      </c>
      <c r="H8" s="6">
        <v>659.65</v>
      </c>
    </row>
    <row r="9" spans="1:10" hidden="1" x14ac:dyDescent="0.3">
      <c r="A9" s="5">
        <v>45571</v>
      </c>
      <c r="B9" s="6">
        <v>20200</v>
      </c>
      <c r="C9" s="6">
        <v>16125</v>
      </c>
      <c r="F9" s="5">
        <v>45594</v>
      </c>
      <c r="G9" s="6">
        <v>71.12</v>
      </c>
      <c r="H9" s="6">
        <v>654.91</v>
      </c>
    </row>
    <row r="10" spans="1:10" hidden="1" x14ac:dyDescent="0.3">
      <c r="A10" s="5">
        <v>45572</v>
      </c>
      <c r="B10" s="6">
        <v>17762.5</v>
      </c>
      <c r="C10" s="6">
        <v>14625</v>
      </c>
      <c r="F10" s="5">
        <v>45595</v>
      </c>
      <c r="G10" s="6">
        <v>72.16</v>
      </c>
      <c r="H10" s="6">
        <v>666.76</v>
      </c>
    </row>
    <row r="11" spans="1:10" hidden="1" x14ac:dyDescent="0.3">
      <c r="A11" s="5">
        <v>45573</v>
      </c>
      <c r="B11" s="6">
        <v>15275</v>
      </c>
      <c r="C11" s="6">
        <v>14925</v>
      </c>
      <c r="F11" s="5" t="s">
        <v>41</v>
      </c>
      <c r="G11" s="6">
        <v>508.1</v>
      </c>
      <c r="H11" s="6">
        <v>4715.51</v>
      </c>
    </row>
    <row r="12" spans="1:10" hidden="1" x14ac:dyDescent="0.3">
      <c r="A12" s="5">
        <v>45574</v>
      </c>
      <c r="B12" s="6">
        <v>28000</v>
      </c>
      <c r="C12" s="6">
        <v>15225</v>
      </c>
    </row>
    <row r="13" spans="1:10" hidden="1" x14ac:dyDescent="0.3">
      <c r="A13" s="5">
        <v>45575</v>
      </c>
      <c r="B13" s="6">
        <v>25350</v>
      </c>
      <c r="C13" s="6">
        <v>15900</v>
      </c>
    </row>
    <row r="14" spans="1:10" hidden="1" x14ac:dyDescent="0.3">
      <c r="A14" s="5">
        <v>45576</v>
      </c>
      <c r="B14" s="6">
        <v>22525</v>
      </c>
      <c r="C14" s="6">
        <v>16950</v>
      </c>
    </row>
    <row r="15" spans="1:10" hidden="1" x14ac:dyDescent="0.3">
      <c r="A15" s="5">
        <v>45577</v>
      </c>
      <c r="B15" s="6">
        <v>20175</v>
      </c>
      <c r="C15" s="6">
        <v>14100</v>
      </c>
    </row>
    <row r="16" spans="1:10" hidden="1" x14ac:dyDescent="0.3">
      <c r="A16" s="5">
        <v>45578</v>
      </c>
      <c r="B16" s="6">
        <v>17450</v>
      </c>
      <c r="C16" s="6">
        <v>16350</v>
      </c>
    </row>
    <row r="17" spans="1:3" hidden="1" x14ac:dyDescent="0.3">
      <c r="A17" s="5">
        <v>45579</v>
      </c>
      <c r="B17" s="6">
        <v>15000</v>
      </c>
      <c r="C17" s="6">
        <v>14700</v>
      </c>
    </row>
    <row r="18" spans="1:3" hidden="1" x14ac:dyDescent="0.3">
      <c r="A18" s="5">
        <v>45580</v>
      </c>
      <c r="B18" s="6">
        <v>28000</v>
      </c>
      <c r="C18" s="6">
        <v>15000</v>
      </c>
    </row>
    <row r="19" spans="1:3" hidden="1" x14ac:dyDescent="0.3">
      <c r="A19" s="5">
        <v>45581</v>
      </c>
      <c r="B19" s="6">
        <v>25450</v>
      </c>
      <c r="C19" s="6">
        <v>15300</v>
      </c>
    </row>
    <row r="20" spans="1:3" hidden="1" x14ac:dyDescent="0.3">
      <c r="A20" s="5">
        <v>45582</v>
      </c>
      <c r="B20" s="6">
        <v>22775</v>
      </c>
      <c r="C20" s="6">
        <v>16050</v>
      </c>
    </row>
    <row r="21" spans="1:3" hidden="1" x14ac:dyDescent="0.3">
      <c r="A21" s="5">
        <v>45583</v>
      </c>
      <c r="B21" s="6">
        <v>19925</v>
      </c>
      <c r="C21" s="6">
        <v>17100</v>
      </c>
    </row>
    <row r="22" spans="1:3" hidden="1" x14ac:dyDescent="0.3">
      <c r="A22" s="5">
        <v>45584</v>
      </c>
      <c r="B22" s="6">
        <v>17550</v>
      </c>
      <c r="C22" s="6">
        <v>14250</v>
      </c>
    </row>
    <row r="23" spans="1:3" hidden="1" x14ac:dyDescent="0.3">
      <c r="A23" s="5">
        <v>45585</v>
      </c>
      <c r="B23" s="6">
        <v>28000</v>
      </c>
      <c r="C23" s="6">
        <v>16500</v>
      </c>
    </row>
    <row r="24" spans="1:3" hidden="1" x14ac:dyDescent="0.3">
      <c r="A24" s="5">
        <v>45586</v>
      </c>
      <c r="B24" s="6">
        <v>25537.5</v>
      </c>
      <c r="C24" s="6">
        <v>14775</v>
      </c>
    </row>
    <row r="25" spans="1:3" hidden="1" x14ac:dyDescent="0.3">
      <c r="A25" s="5">
        <v>45587</v>
      </c>
      <c r="B25" s="6">
        <v>23025</v>
      </c>
      <c r="C25" s="6">
        <v>15075</v>
      </c>
    </row>
    <row r="26" spans="1:3" hidden="1" x14ac:dyDescent="0.3">
      <c r="A26" s="5">
        <v>45588</v>
      </c>
      <c r="B26" s="6">
        <v>20462.5</v>
      </c>
      <c r="C26" s="6">
        <v>15375</v>
      </c>
    </row>
    <row r="27" spans="1:3" hidden="1" x14ac:dyDescent="0.3">
      <c r="A27" s="5">
        <v>45589</v>
      </c>
      <c r="B27" s="6">
        <v>17762.5</v>
      </c>
      <c r="C27" s="6">
        <v>16200</v>
      </c>
    </row>
    <row r="28" spans="1:3" hidden="1" x14ac:dyDescent="0.3">
      <c r="A28" s="5">
        <v>45590</v>
      </c>
      <c r="B28" s="6">
        <v>28000</v>
      </c>
      <c r="C28" s="6">
        <v>17250</v>
      </c>
    </row>
    <row r="29" spans="1:3" hidden="1" x14ac:dyDescent="0.3">
      <c r="A29" s="5">
        <v>45591</v>
      </c>
      <c r="B29" s="6">
        <v>25600</v>
      </c>
      <c r="C29" s="6">
        <v>14400</v>
      </c>
    </row>
    <row r="30" spans="1:3" hidden="1" x14ac:dyDescent="0.3">
      <c r="A30" s="5">
        <v>45592</v>
      </c>
      <c r="B30" s="6">
        <v>22825</v>
      </c>
      <c r="C30" s="6">
        <v>16650</v>
      </c>
    </row>
    <row r="31" spans="1:3" hidden="1" x14ac:dyDescent="0.3">
      <c r="A31" s="5">
        <v>45593</v>
      </c>
      <c r="B31" s="6">
        <v>20350</v>
      </c>
      <c r="C31" s="6">
        <v>14850</v>
      </c>
    </row>
    <row r="32" spans="1:3" hidden="1" x14ac:dyDescent="0.3">
      <c r="A32" s="5">
        <v>45594</v>
      </c>
      <c r="B32" s="6">
        <v>17825</v>
      </c>
      <c r="C32" s="6">
        <v>15150</v>
      </c>
    </row>
    <row r="33" spans="1:3" hidden="1" x14ac:dyDescent="0.3">
      <c r="A33" s="5">
        <v>45595</v>
      </c>
      <c r="B33" s="6">
        <v>28000</v>
      </c>
      <c r="C33" s="6">
        <v>15450</v>
      </c>
    </row>
    <row r="34" spans="1:3" hidden="1" x14ac:dyDescent="0.3">
      <c r="A34" s="5" t="s">
        <v>41</v>
      </c>
      <c r="B34" s="6">
        <v>666237.5</v>
      </c>
      <c r="C34" s="6">
        <v>464700</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Logistics_Master</vt:lpstr>
      <vt:lpstr>Raw_Market_Data</vt:lpstr>
      <vt:lpstr>Raw_Flight_Data</vt:lpstr>
      <vt:lpstr>Inventory_Engine</vt:lpstr>
      <vt:lpstr>KPI_Dashboard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Qasim Mahmood</dc:creator>
  <cp:lastModifiedBy>Qasim Mahmood</cp:lastModifiedBy>
  <dcterms:created xsi:type="dcterms:W3CDTF">2026-09-19T09:45:52Z</dcterms:created>
  <dcterms:modified xsi:type="dcterms:W3CDTF">2026-09-19T16:24:46Z</dcterms:modified>
</cp:coreProperties>
</file>